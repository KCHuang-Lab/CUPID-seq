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fu/Dropbox (Personal)/Papers/NatProt-CUPID-Seq/REVISION/Supplementary-files/"/>
    </mc:Choice>
  </mc:AlternateContent>
  <xr:revisionPtr revIDLastSave="0" documentId="13_ncr:1_{22865FA6-FE70-1840-971D-80C1D2DB3850}" xr6:coauthVersionLast="47" xr6:coauthVersionMax="47" xr10:uidLastSave="{00000000-0000-0000-0000-000000000000}"/>
  <bookViews>
    <workbookView xWindow="35380" yWindow="1880" windowWidth="22700" windowHeight="17520" xr2:uid="{00000000-000D-0000-FFFF-FFFF00000000}"/>
  </bookViews>
  <sheets>
    <sheet name="samplesheetTemplate" sheetId="2" r:id="rId1"/>
    <sheet name="fastqlistTemplate" sheetId="5" r:id="rId2"/>
    <sheet name="CALCULATION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A15" i="5" s="1"/>
  <c r="G5" i="4"/>
  <c r="A16" i="5" s="1"/>
  <c r="G6" i="4"/>
  <c r="A17" i="5" s="1"/>
  <c r="G7" i="4"/>
  <c r="A18" i="5" s="1"/>
  <c r="G8" i="4"/>
  <c r="A19" i="5" s="1"/>
  <c r="G9" i="4"/>
  <c r="A20" i="5" s="1"/>
  <c r="G10" i="4"/>
  <c r="A21" i="5" s="1"/>
  <c r="G11" i="4"/>
  <c r="A22" i="5" s="1"/>
  <c r="G12" i="4"/>
  <c r="A23" i="5" s="1"/>
  <c r="G13" i="4"/>
  <c r="A24" i="5" s="1"/>
  <c r="G14" i="4"/>
  <c r="A25" i="5" s="1"/>
  <c r="G15" i="4"/>
  <c r="A26" i="5" s="1"/>
  <c r="G16" i="4"/>
  <c r="A27" i="5" s="1"/>
  <c r="G17" i="4"/>
  <c r="A28" i="5" s="1"/>
  <c r="G18" i="4"/>
  <c r="A29" i="5" s="1"/>
  <c r="G19" i="4"/>
  <c r="A30" i="5" s="1"/>
  <c r="G20" i="4"/>
  <c r="A31" i="5" s="1"/>
  <c r="G21" i="4"/>
  <c r="A32" i="5" s="1"/>
  <c r="G22" i="4"/>
  <c r="A33" i="5" s="1"/>
  <c r="G23" i="4"/>
  <c r="A34" i="5" s="1"/>
  <c r="G24" i="4"/>
  <c r="A35" i="5" s="1"/>
  <c r="G25" i="4"/>
  <c r="A36" i="5" s="1"/>
  <c r="G26" i="4"/>
  <c r="A37" i="5" s="1"/>
  <c r="G27" i="4"/>
  <c r="A38" i="5" s="1"/>
  <c r="G28" i="4"/>
  <c r="A39" i="5" s="1"/>
  <c r="G29" i="4"/>
  <c r="A40" i="5" s="1"/>
  <c r="G30" i="4"/>
  <c r="A41" i="5" s="1"/>
  <c r="G31" i="4"/>
  <c r="A42" i="5" s="1"/>
  <c r="G32" i="4"/>
  <c r="A43" i="5" s="1"/>
  <c r="G33" i="4"/>
  <c r="A44" i="5" s="1"/>
  <c r="G34" i="4"/>
  <c r="A45" i="5" s="1"/>
  <c r="G35" i="4"/>
  <c r="A46" i="5" s="1"/>
  <c r="G36" i="4"/>
  <c r="A47" i="5" s="1"/>
  <c r="G37" i="4"/>
  <c r="A48" i="5" s="1"/>
  <c r="G38" i="4"/>
  <c r="A49" i="5" s="1"/>
  <c r="G39" i="4"/>
  <c r="A50" i="5" s="1"/>
  <c r="G40" i="4"/>
  <c r="A51" i="5" s="1"/>
  <c r="G41" i="4"/>
  <c r="A52" i="5" s="1"/>
  <c r="G42" i="4"/>
  <c r="A53" i="5" s="1"/>
  <c r="G43" i="4"/>
  <c r="A54" i="5" s="1"/>
  <c r="G44" i="4"/>
  <c r="A55" i="5" s="1"/>
  <c r="G45" i="4"/>
  <c r="A56" i="5" s="1"/>
  <c r="G46" i="4"/>
  <c r="A57" i="5" s="1"/>
  <c r="G47" i="4"/>
  <c r="A58" i="5" s="1"/>
  <c r="G48" i="4"/>
  <c r="A59" i="5" s="1"/>
  <c r="G49" i="4"/>
  <c r="A60" i="5" s="1"/>
  <c r="G50" i="4"/>
  <c r="A61" i="5" s="1"/>
  <c r="G51" i="4"/>
  <c r="A62" i="5" s="1"/>
  <c r="G52" i="4"/>
  <c r="A63" i="5" s="1"/>
  <c r="G53" i="4"/>
  <c r="A64" i="5" s="1"/>
  <c r="G54" i="4"/>
  <c r="A65" i="5" s="1"/>
  <c r="G55" i="4"/>
  <c r="A66" i="5" s="1"/>
  <c r="G56" i="4"/>
  <c r="A67" i="5" s="1"/>
  <c r="G57" i="4"/>
  <c r="A68" i="5" s="1"/>
  <c r="G58" i="4"/>
  <c r="A69" i="5" s="1"/>
  <c r="G59" i="4"/>
  <c r="A70" i="5" s="1"/>
  <c r="G60" i="4"/>
  <c r="A71" i="5" s="1"/>
  <c r="G61" i="4"/>
  <c r="A72" i="5" s="1"/>
  <c r="G62" i="4"/>
  <c r="A73" i="5" s="1"/>
  <c r="G63" i="4"/>
  <c r="A74" i="5" s="1"/>
  <c r="G64" i="4"/>
  <c r="A75" i="5" s="1"/>
  <c r="G65" i="4"/>
  <c r="A76" i="5" s="1"/>
  <c r="G66" i="4"/>
  <c r="A77" i="5" s="1"/>
  <c r="G67" i="4"/>
  <c r="A78" i="5" s="1"/>
  <c r="G68" i="4"/>
  <c r="A79" i="5" s="1"/>
  <c r="G69" i="4"/>
  <c r="A80" i="5" s="1"/>
  <c r="G70" i="4"/>
  <c r="A81" i="5" s="1"/>
  <c r="G71" i="4"/>
  <c r="A82" i="5" s="1"/>
  <c r="G72" i="4"/>
  <c r="A83" i="5" s="1"/>
  <c r="G73" i="4"/>
  <c r="A84" i="5" s="1"/>
  <c r="G74" i="4"/>
  <c r="A85" i="5" s="1"/>
  <c r="G75" i="4"/>
  <c r="A86" i="5" s="1"/>
  <c r="G76" i="4"/>
  <c r="A87" i="5" s="1"/>
  <c r="G77" i="4"/>
  <c r="A88" i="5" s="1"/>
  <c r="G78" i="4"/>
  <c r="A89" i="5" s="1"/>
  <c r="G79" i="4"/>
  <c r="A90" i="5" s="1"/>
  <c r="G80" i="4"/>
  <c r="A91" i="5" s="1"/>
  <c r="G81" i="4"/>
  <c r="A92" i="5" s="1"/>
  <c r="G82" i="4"/>
  <c r="A93" i="5" s="1"/>
  <c r="G83" i="4"/>
  <c r="A94" i="5" s="1"/>
  <c r="G84" i="4"/>
  <c r="A95" i="5" s="1"/>
  <c r="G85" i="4"/>
  <c r="A96" i="5" s="1"/>
  <c r="G86" i="4"/>
  <c r="A97" i="5" s="1"/>
  <c r="G87" i="4"/>
  <c r="A98" i="5" s="1"/>
  <c r="G88" i="4"/>
  <c r="A99" i="5" s="1"/>
  <c r="G89" i="4"/>
  <c r="A100" i="5" s="1"/>
  <c r="G90" i="4"/>
  <c r="A101" i="5" s="1"/>
  <c r="G91" i="4"/>
  <c r="A102" i="5" s="1"/>
  <c r="G92" i="4"/>
  <c r="A103" i="5" s="1"/>
  <c r="G93" i="4"/>
  <c r="A104" i="5" s="1"/>
  <c r="G94" i="4"/>
  <c r="A105" i="5" s="1"/>
  <c r="G95" i="4"/>
  <c r="A106" i="5" s="1"/>
  <c r="G96" i="4"/>
  <c r="A107" i="5" s="1"/>
  <c r="G97" i="4"/>
  <c r="A108" i="5" s="1"/>
  <c r="G98" i="4"/>
  <c r="A109" i="5" s="1"/>
  <c r="G3" i="4"/>
  <c r="A14" i="5" s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3" i="4"/>
  <c r="A23" i="2" l="1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22" i="2"/>
  <c r="B117" i="2"/>
  <c r="C117" i="2"/>
  <c r="B116" i="2"/>
  <c r="C116" i="2"/>
  <c r="B115" i="2"/>
  <c r="C115" i="2"/>
  <c r="B114" i="2"/>
  <c r="C114" i="2"/>
  <c r="B113" i="2"/>
  <c r="C113" i="2"/>
  <c r="B112" i="2"/>
  <c r="C112" i="2"/>
  <c r="B111" i="2"/>
  <c r="C111" i="2"/>
  <c r="B110" i="2"/>
  <c r="C110" i="2"/>
  <c r="B109" i="2"/>
  <c r="C109" i="2"/>
  <c r="B108" i="2"/>
  <c r="C108" i="2"/>
  <c r="B107" i="2"/>
  <c r="C107" i="2"/>
  <c r="B106" i="2"/>
  <c r="C106" i="2"/>
  <c r="B105" i="2"/>
  <c r="C105" i="2"/>
  <c r="B104" i="2"/>
  <c r="C104" i="2"/>
  <c r="B103" i="2"/>
  <c r="C103" i="2"/>
  <c r="B102" i="2"/>
  <c r="C102" i="2"/>
  <c r="B101" i="2"/>
  <c r="C101" i="2"/>
  <c r="B100" i="2"/>
  <c r="C100" i="2"/>
  <c r="B99" i="2"/>
  <c r="C99" i="2"/>
  <c r="B98" i="2"/>
  <c r="C98" i="2"/>
  <c r="B97" i="2"/>
  <c r="C97" i="2"/>
  <c r="B96" i="2"/>
  <c r="C96" i="2"/>
  <c r="B95" i="2"/>
  <c r="C95" i="2"/>
  <c r="B94" i="2"/>
  <c r="C94" i="2"/>
  <c r="B93" i="2"/>
  <c r="C93" i="2"/>
  <c r="B92" i="2"/>
  <c r="C92" i="2"/>
  <c r="B91" i="2"/>
  <c r="C91" i="2"/>
  <c r="B90" i="2"/>
  <c r="C90" i="2"/>
  <c r="B89" i="2"/>
  <c r="C89" i="2"/>
  <c r="B88" i="2"/>
  <c r="C88" i="2"/>
  <c r="B87" i="2"/>
  <c r="C87" i="2"/>
  <c r="B86" i="2"/>
  <c r="C86" i="2"/>
  <c r="B85" i="2"/>
  <c r="C85" i="2"/>
  <c r="B84" i="2"/>
  <c r="C84" i="2"/>
  <c r="B83" i="2"/>
  <c r="C83" i="2"/>
  <c r="B82" i="2"/>
  <c r="C82" i="2"/>
  <c r="B81" i="2"/>
  <c r="C81" i="2"/>
  <c r="B80" i="2"/>
  <c r="C80" i="2"/>
  <c r="B79" i="2"/>
  <c r="C79" i="2"/>
  <c r="B78" i="2"/>
  <c r="C78" i="2"/>
  <c r="B77" i="2"/>
  <c r="C77" i="2"/>
  <c r="B76" i="2"/>
  <c r="C76" i="2"/>
  <c r="B75" i="2"/>
  <c r="C75" i="2"/>
  <c r="B74" i="2"/>
  <c r="C74" i="2"/>
  <c r="B73" i="2"/>
  <c r="C73" i="2"/>
  <c r="B72" i="2"/>
  <c r="C72" i="2"/>
  <c r="B71" i="2"/>
  <c r="C71" i="2"/>
  <c r="B70" i="2"/>
  <c r="C70" i="2"/>
  <c r="B69" i="2"/>
  <c r="C69" i="2"/>
  <c r="B68" i="2"/>
  <c r="C68" i="2"/>
  <c r="B67" i="2"/>
  <c r="C67" i="2"/>
  <c r="B66" i="2"/>
  <c r="C66" i="2"/>
  <c r="B65" i="2"/>
  <c r="C65" i="2"/>
  <c r="B64" i="2"/>
  <c r="C64" i="2"/>
  <c r="B63" i="2"/>
  <c r="C63" i="2"/>
  <c r="B62" i="2"/>
  <c r="C62" i="2"/>
  <c r="B61" i="2"/>
  <c r="C61" i="2"/>
  <c r="B60" i="2"/>
  <c r="C60" i="2"/>
  <c r="B59" i="2"/>
  <c r="C59" i="2"/>
  <c r="B58" i="2"/>
  <c r="C58" i="2"/>
  <c r="B57" i="2"/>
  <c r="C57" i="2"/>
  <c r="B56" i="2"/>
  <c r="C56" i="2"/>
  <c r="B55" i="2"/>
  <c r="C55" i="2"/>
  <c r="B54" i="2"/>
  <c r="C54" i="2"/>
  <c r="B53" i="2"/>
  <c r="C53" i="2"/>
  <c r="B52" i="2"/>
  <c r="C52" i="2"/>
  <c r="B51" i="2"/>
  <c r="C51" i="2"/>
  <c r="B50" i="2"/>
  <c r="C50" i="2"/>
  <c r="B49" i="2"/>
  <c r="C49" i="2"/>
  <c r="B48" i="2"/>
  <c r="C48" i="2"/>
  <c r="B47" i="2"/>
  <c r="C47" i="2"/>
  <c r="B46" i="2"/>
  <c r="C46" i="2"/>
  <c r="B45" i="2"/>
  <c r="C45" i="2"/>
  <c r="B44" i="2"/>
  <c r="C44" i="2"/>
  <c r="B43" i="2"/>
  <c r="C43" i="2"/>
  <c r="B42" i="2"/>
  <c r="C42" i="2"/>
  <c r="B41" i="2"/>
  <c r="C41" i="2"/>
  <c r="B40" i="2"/>
  <c r="C40" i="2"/>
  <c r="B39" i="2"/>
  <c r="C39" i="2"/>
  <c r="B38" i="2"/>
  <c r="C38" i="2"/>
  <c r="B37" i="2"/>
  <c r="C37" i="2"/>
  <c r="B36" i="2"/>
  <c r="C36" i="2"/>
  <c r="B35" i="2"/>
  <c r="C35" i="2"/>
  <c r="B34" i="2"/>
  <c r="C34" i="2"/>
  <c r="B33" i="2"/>
  <c r="C33" i="2"/>
  <c r="B32" i="2"/>
  <c r="C32" i="2"/>
  <c r="B31" i="2"/>
  <c r="C31" i="2"/>
  <c r="B30" i="2"/>
  <c r="C30" i="2"/>
  <c r="B29" i="2"/>
  <c r="C29" i="2"/>
  <c r="B28" i="2"/>
  <c r="C28" i="2"/>
  <c r="B27" i="2"/>
  <c r="C27" i="2"/>
  <c r="B26" i="2"/>
  <c r="C26" i="2"/>
  <c r="B25" i="2"/>
  <c r="C25" i="2"/>
  <c r="B24" i="2"/>
  <c r="C24" i="2"/>
  <c r="B23" i="2"/>
  <c r="C23" i="2"/>
  <c r="B22" i="2"/>
  <c r="C22" i="2"/>
  <c r="B17" i="2" l="1" a="1"/>
  <c r="B17" i="2" s="1"/>
  <c r="B16" i="2" a="1"/>
  <c r="B16" i="2" s="1"/>
  <c r="B15" i="2" l="1" a="1"/>
  <c r="B15" i="2" s="1"/>
</calcChain>
</file>

<file path=xl/sharedStrings.xml><?xml version="1.0" encoding="utf-8"?>
<sst xmlns="http://schemas.openxmlformats.org/spreadsheetml/2006/main" count="444" uniqueCount="212">
  <si>
    <t>filename</t>
  </si>
  <si>
    <t>sample</t>
  </si>
  <si>
    <t>group</t>
  </si>
  <si>
    <t>default</t>
  </si>
  <si>
    <t>CUPID-SEQ SAMPLESHEET TEMPLATE</t>
  </si>
  <si>
    <t>MAKE A COPY OF THIS TEMPLATE. DO NOT EDIT DIRECTLY.</t>
  </si>
  <si>
    <t>This template is intended to help you fill out the CUPID-seq samplesheet correctly and efficiently.</t>
  </si>
  <si>
    <r>
      <rPr>
        <sz val="10"/>
        <color theme="1"/>
        <rFont val="Arial"/>
        <family val="2"/>
      </rPr>
      <t xml:space="preserve">Required fields are listed in </t>
    </r>
    <r>
      <rPr>
        <b/>
        <sz val="10"/>
        <color rgb="FF93C47D"/>
        <rFont val="Arial"/>
        <family val="2"/>
      </rPr>
      <t>green</t>
    </r>
    <r>
      <rPr>
        <sz val="10"/>
        <color theme="1"/>
        <rFont val="Arial"/>
        <family val="2"/>
      </rPr>
      <t>.</t>
    </r>
  </si>
  <si>
    <t>well ordering</t>
  </si>
  <si>
    <t>Round 1 index</t>
  </si>
  <si>
    <t>Round 1 in-line index that was used for this plate.</t>
  </si>
  <si>
    <t>Round 2 index</t>
  </si>
  <si>
    <t>A</t>
  </si>
  <si>
    <t>Round 2 Illumina UDI set.</t>
  </si>
  <si>
    <t>Samples in the same group will be demultiplexed into the same folder.</t>
  </si>
  <si>
    <t>plate</t>
  </si>
  <si>
    <t>platename</t>
  </si>
  <si>
    <t>Optional plate name. By default, sample names are populated as [platename]-[well].</t>
  </si>
  <si>
    <t>Check that names are valid (include no underscores, spaces, or commas; hyphens are allowed).</t>
  </si>
  <si>
    <t>Columns A, B, and C below should be included in the samplesheet.</t>
  </si>
  <si>
    <t>well (A1, B1)</t>
  </si>
  <si>
    <t>well (A01, B01)</t>
  </si>
  <si>
    <t>well (A1, A2)</t>
  </si>
  <si>
    <t>well (A01, A02)</t>
  </si>
  <si>
    <t>well (this plate)</t>
  </si>
  <si>
    <t>A1</t>
  </si>
  <si>
    <t>A01</t>
  </si>
  <si>
    <t>B1</t>
  </si>
  <si>
    <t>B01</t>
  </si>
  <si>
    <t>A2</t>
  </si>
  <si>
    <t>A02</t>
  </si>
  <si>
    <t>C1</t>
  </si>
  <si>
    <t>C01</t>
  </si>
  <si>
    <t>A3</t>
  </si>
  <si>
    <t>A03</t>
  </si>
  <si>
    <t>D1</t>
  </si>
  <si>
    <t>D01</t>
  </si>
  <si>
    <t>A4</t>
  </si>
  <si>
    <t>A04</t>
  </si>
  <si>
    <t>E1</t>
  </si>
  <si>
    <t>E01</t>
  </si>
  <si>
    <t>A5</t>
  </si>
  <si>
    <t>A05</t>
  </si>
  <si>
    <t>F1</t>
  </si>
  <si>
    <t>F01</t>
  </si>
  <si>
    <t>A6</t>
  </si>
  <si>
    <t>A06</t>
  </si>
  <si>
    <t>G1</t>
  </si>
  <si>
    <t>G01</t>
  </si>
  <si>
    <t>A7</t>
  </si>
  <si>
    <t>A07</t>
  </si>
  <si>
    <t>H1</t>
  </si>
  <si>
    <t>H01</t>
  </si>
  <si>
    <t>A8</t>
  </si>
  <si>
    <t>A08</t>
  </si>
  <si>
    <t>A9</t>
  </si>
  <si>
    <t>A09</t>
  </si>
  <si>
    <t>B2</t>
  </si>
  <si>
    <t>B02</t>
  </si>
  <si>
    <t>A10</t>
  </si>
  <si>
    <t>C2</t>
  </si>
  <si>
    <t>C02</t>
  </si>
  <si>
    <t>A11</t>
  </si>
  <si>
    <t>D2</t>
  </si>
  <si>
    <t>D02</t>
  </si>
  <si>
    <t>A12</t>
  </si>
  <si>
    <t>E2</t>
  </si>
  <si>
    <t>E02</t>
  </si>
  <si>
    <t>F2</t>
  </si>
  <si>
    <t>F02</t>
  </si>
  <si>
    <t>G2</t>
  </si>
  <si>
    <t>G02</t>
  </si>
  <si>
    <t>B3</t>
  </si>
  <si>
    <t>B03</t>
  </si>
  <si>
    <t>H2</t>
  </si>
  <si>
    <t>H02</t>
  </si>
  <si>
    <t>B4</t>
  </si>
  <si>
    <t>B04</t>
  </si>
  <si>
    <t>B5</t>
  </si>
  <si>
    <t>B05</t>
  </si>
  <si>
    <t>B6</t>
  </si>
  <si>
    <t>B06</t>
  </si>
  <si>
    <t>C3</t>
  </si>
  <si>
    <t>C03</t>
  </si>
  <si>
    <t>B7</t>
  </si>
  <si>
    <t>B07</t>
  </si>
  <si>
    <t>D3</t>
  </si>
  <si>
    <t>D03</t>
  </si>
  <si>
    <t>B8</t>
  </si>
  <si>
    <t>B08</t>
  </si>
  <si>
    <t>E3</t>
  </si>
  <si>
    <t>E03</t>
  </si>
  <si>
    <t>B9</t>
  </si>
  <si>
    <t>B09</t>
  </si>
  <si>
    <t>F3</t>
  </si>
  <si>
    <t>F03</t>
  </si>
  <si>
    <t>B10</t>
  </si>
  <si>
    <t>G3</t>
  </si>
  <si>
    <t>G03</t>
  </si>
  <si>
    <t>B11</t>
  </si>
  <si>
    <t>H3</t>
  </si>
  <si>
    <t>H03</t>
  </si>
  <si>
    <t>B12</t>
  </si>
  <si>
    <t>C4</t>
  </si>
  <si>
    <t>C04</t>
  </si>
  <si>
    <t>D4</t>
  </si>
  <si>
    <t>D04</t>
  </si>
  <si>
    <t>E4</t>
  </si>
  <si>
    <t>E04</t>
  </si>
  <si>
    <t>C5</t>
  </si>
  <si>
    <t>C05</t>
  </si>
  <si>
    <t>F4</t>
  </si>
  <si>
    <t>F04</t>
  </si>
  <si>
    <t>C6</t>
  </si>
  <si>
    <t>C06</t>
  </si>
  <si>
    <t>G4</t>
  </si>
  <si>
    <t>G04</t>
  </si>
  <si>
    <t>C7</t>
  </si>
  <si>
    <t>C07</t>
  </si>
  <si>
    <t>H4</t>
  </si>
  <si>
    <t>H04</t>
  </si>
  <si>
    <t>C8</t>
  </si>
  <si>
    <t>C08</t>
  </si>
  <si>
    <t>C9</t>
  </si>
  <si>
    <t>C09</t>
  </si>
  <si>
    <t>C10</t>
  </si>
  <si>
    <t>C11</t>
  </si>
  <si>
    <t>D5</t>
  </si>
  <si>
    <t>D05</t>
  </si>
  <si>
    <t>C12</t>
  </si>
  <si>
    <t>E5</t>
  </si>
  <si>
    <t>E05</t>
  </si>
  <si>
    <t>F5</t>
  </si>
  <si>
    <t>F05</t>
  </si>
  <si>
    <t>G5</t>
  </si>
  <si>
    <t>G05</t>
  </si>
  <si>
    <t>H5</t>
  </si>
  <si>
    <t>H05</t>
  </si>
  <si>
    <t>D6</t>
  </si>
  <si>
    <t>D06</t>
  </si>
  <si>
    <t>D7</t>
  </si>
  <si>
    <t>D07</t>
  </si>
  <si>
    <t>D8</t>
  </si>
  <si>
    <t>D08</t>
  </si>
  <si>
    <t>E6</t>
  </si>
  <si>
    <t>E06</t>
  </si>
  <si>
    <t>D9</t>
  </si>
  <si>
    <t>D09</t>
  </si>
  <si>
    <t>F6</t>
  </si>
  <si>
    <t>F06</t>
  </si>
  <si>
    <t>D10</t>
  </si>
  <si>
    <t>G6</t>
  </si>
  <si>
    <t>G06</t>
  </si>
  <si>
    <t>D11</t>
  </si>
  <si>
    <t>H6</t>
  </si>
  <si>
    <t>H06</t>
  </si>
  <si>
    <t>D12</t>
  </si>
  <si>
    <t>E7</t>
  </si>
  <si>
    <t>E07</t>
  </si>
  <si>
    <t>F7</t>
  </si>
  <si>
    <t>F07</t>
  </si>
  <si>
    <t>G7</t>
  </si>
  <si>
    <t>G07</t>
  </si>
  <si>
    <t>H7</t>
  </si>
  <si>
    <t>H07</t>
  </si>
  <si>
    <t>E8</t>
  </si>
  <si>
    <t>E08</t>
  </si>
  <si>
    <t>E9</t>
  </si>
  <si>
    <t>E09</t>
  </si>
  <si>
    <t>E10</t>
  </si>
  <si>
    <t>E11</t>
  </si>
  <si>
    <t>E12</t>
  </si>
  <si>
    <t>F8</t>
  </si>
  <si>
    <t>F08</t>
  </si>
  <si>
    <t>G8</t>
  </si>
  <si>
    <t>G08</t>
  </si>
  <si>
    <t>H8</t>
  </si>
  <si>
    <t>H08</t>
  </si>
  <si>
    <t>F9</t>
  </si>
  <si>
    <t>F09</t>
  </si>
  <si>
    <t>F10</t>
  </si>
  <si>
    <t>G9</t>
  </si>
  <si>
    <t>G09</t>
  </si>
  <si>
    <t>F11</t>
  </si>
  <si>
    <t>H9</t>
  </si>
  <si>
    <t>H09</t>
  </si>
  <si>
    <t>F12</t>
  </si>
  <si>
    <t>G10</t>
  </si>
  <si>
    <t>H10</t>
  </si>
  <si>
    <t>G11</t>
  </si>
  <si>
    <t>G12</t>
  </si>
  <si>
    <t>H11</t>
  </si>
  <si>
    <t>H12</t>
  </si>
  <si>
    <t>Optional run name. By default, runs are named '16S'.</t>
  </si>
  <si>
    <t>16S</t>
  </si>
  <si>
    <t>read1</t>
  </si>
  <si>
    <t>read2</t>
  </si>
  <si>
    <t>run name</t>
  </si>
  <si>
    <t>Indicate if sample names are arranged in A01, B01, C01... or A01, A02, A03... format.</t>
  </si>
  <si>
    <t>Enter a name that is unique for every sample. Names should not contain underscores, commas, periods, whitespace, or special characters. Hyphens are acceptable.</t>
  </si>
  <si>
    <t>Fill out one template for each 96-well plate of samples. If one plate contains multiple groups, then edit rows in column C manually.</t>
  </si>
  <si>
    <t>Columns A, B, and C below should be included in the fastqlist.</t>
  </si>
  <si>
    <t>List the paths to the FASTQ files for each Round 2 UDI.</t>
  </si>
  <si>
    <t>Fill out one template for each 96-well plate of Round 2 UDIs used.</t>
  </si>
  <si>
    <t>CUPID-SEQ FASTQ_LIST TEMPLATE</t>
  </si>
  <si>
    <t>This template is intended to help you fill out the CUPID-seq fastq_list correctly and efficiently.</t>
  </si>
  <si>
    <t>This sheet used for calculations only. Do not edit or include in final samplesheet.</t>
  </si>
  <si>
    <t>well (padded, this plate, samplesheet)</t>
  </si>
  <si>
    <t>well (padded, this plate, fastqlist)</t>
  </si>
  <si>
    <t>A01 A02 A03...</t>
  </si>
  <si>
    <r>
      <t xml:space="preserve">Data in </t>
    </r>
    <r>
      <rPr>
        <b/>
        <sz val="10"/>
        <color theme="1"/>
        <rFont val="Arial"/>
        <family val="2"/>
      </rPr>
      <t xml:space="preserve">columns A–C, rows 22–117 </t>
    </r>
    <r>
      <rPr>
        <sz val="10"/>
        <color theme="1"/>
        <rFont val="Arial"/>
        <family val="2"/>
      </rPr>
      <t>should be copied to the CUPID-seq samplesheet.</t>
    </r>
  </si>
  <si>
    <r>
      <t xml:space="preserve">Data in </t>
    </r>
    <r>
      <rPr>
        <b/>
        <sz val="10"/>
        <color theme="1"/>
        <rFont val="Arial"/>
        <family val="2"/>
      </rPr>
      <t xml:space="preserve">columns A–C, rows 14–109 </t>
    </r>
    <r>
      <rPr>
        <sz val="10"/>
        <color theme="1"/>
        <rFont val="Arial"/>
        <family val="2"/>
      </rPr>
      <t>should be copied to the CUPID-seq fastq_list file.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</si>
</sst>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0"/>
      <color rgb="FF93C4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B7D7A8"/>
        <bgColor rgb="FFB6D7A8"/>
      </patternFill>
    </fill>
    <fill>
      <patternFill patternType="solid">
        <fgColor rgb="FFB7D7A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2" fillId="2" borderId="0" xfId="0" applyFont="1" applyFill="1" applyAlignment="1">
      <alignment horizontal="center"/>
    </xf>
    <xf numFmtId="0" fontId="2" fillId="5" borderId="0" xfId="0" applyFont="1" applyFill="1"/>
    <xf numFmtId="0" fontId="1" fillId="6" borderId="0" xfId="0" applyFont="1" applyFill="1"/>
    <xf numFmtId="0" fontId="4" fillId="6" borderId="0" xfId="0" applyFont="1" applyFill="1"/>
    <xf numFmtId="0" fontId="2" fillId="6" borderId="0" xfId="0" applyFont="1" applyFill="1"/>
    <xf numFmtId="0" fontId="2" fillId="0" borderId="0" xfId="0" applyFont="1" applyAlignment="1">
      <alignment horizontal="left"/>
    </xf>
    <xf numFmtId="0" fontId="2" fillId="7" borderId="0" xfId="0" applyFont="1" applyFill="1"/>
    <xf numFmtId="0" fontId="2" fillId="8" borderId="0" xfId="0" applyFont="1" applyFill="1" applyAlignment="1">
      <alignment horizontal="left"/>
    </xf>
    <xf numFmtId="0" fontId="1" fillId="4" borderId="0" xfId="0" applyFont="1" applyFill="1"/>
    <xf numFmtId="0" fontId="0" fillId="0" borderId="0" xfId="0"/>
    <xf numFmtId="0" fontId="3" fillId="3" borderId="0" xfId="0" applyFont="1" applyFill="1"/>
  </cellXfs>
  <cellStyles count="1">
    <cellStyle name="Normal" xfId="0" builtinId="0"/>
  </cellStyles>
  <dxfs count="2"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B7D7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10"/>
  <sheetViews>
    <sheetView tabSelected="1" zoomScale="120" zoomScaleNormal="120" workbookViewId="0">
      <selection activeCell="G13" sqref="G13"/>
    </sheetView>
  </sheetViews>
  <sheetFormatPr baseColWidth="10" defaultColWidth="12.6640625" defaultRowHeight="15.75" customHeight="1" x14ac:dyDescent="0.15"/>
  <sheetData>
    <row r="1" spans="1:28" ht="15.75" customHeight="1" x14ac:dyDescent="0.2">
      <c r="A1" s="15" t="s">
        <v>4</v>
      </c>
      <c r="B1" s="14"/>
      <c r="C1" s="14"/>
      <c r="D1" s="1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15">
      <c r="A2" s="13" t="s">
        <v>5</v>
      </c>
      <c r="B2" s="14"/>
      <c r="C2" s="14"/>
      <c r="D2" s="1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3" x14ac:dyDescent="0.15">
      <c r="A3" s="2" t="s">
        <v>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3" x14ac:dyDescent="0.15">
      <c r="A4" s="2" t="s">
        <v>200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3" x14ac:dyDescent="0.15">
      <c r="A5" s="2" t="s">
        <v>210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 x14ac:dyDescent="0.1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x14ac:dyDescent="0.15">
      <c r="A7" s="4" t="s">
        <v>8</v>
      </c>
      <c r="B7" s="5" t="s">
        <v>209</v>
      </c>
      <c r="C7" s="2" t="s">
        <v>198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8" ht="15.75" customHeight="1" x14ac:dyDescent="0.15">
      <c r="A8" s="4" t="s">
        <v>9</v>
      </c>
      <c r="B8" s="5">
        <v>0</v>
      </c>
      <c r="C8" s="2" t="s">
        <v>10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8" ht="15.75" customHeight="1" x14ac:dyDescent="0.15">
      <c r="A9" s="4" t="s">
        <v>11</v>
      </c>
      <c r="B9" s="5" t="s">
        <v>12</v>
      </c>
      <c r="C9" s="2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8" ht="15.75" customHeight="1" x14ac:dyDescent="0.15">
      <c r="A10" s="4" t="s">
        <v>2</v>
      </c>
      <c r="B10" s="3" t="s">
        <v>3</v>
      </c>
      <c r="C10" s="2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8" ht="15.75" customHeight="1" x14ac:dyDescent="0.15">
      <c r="A11" s="4" t="s">
        <v>15</v>
      </c>
      <c r="B11" s="6" t="s">
        <v>16</v>
      </c>
      <c r="C11" s="2" t="s">
        <v>17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x14ac:dyDescent="0.15">
      <c r="A12" s="4" t="s">
        <v>197</v>
      </c>
      <c r="B12" s="6" t="s">
        <v>194</v>
      </c>
      <c r="C12" s="2" t="s">
        <v>193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3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 x14ac:dyDescent="0.15">
      <c r="A14" s="1" t="s">
        <v>18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3" x14ac:dyDescent="0.15">
      <c r="A15" s="2" t="s">
        <v>0</v>
      </c>
      <c r="B15" s="2" t="b">
        <f t="array" ref="B15">SUMPRODUCT(COUNTIF(A22:A117, {"*_*","*.*","* *"})) = 0</f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3" x14ac:dyDescent="0.15">
      <c r="A16" s="2" t="s">
        <v>1</v>
      </c>
      <c r="B16" s="2" t="b">
        <f t="array" ref="B16">SUMPRODUCT(COUNTIF(B22:B117, {"*_*","*.*","* *"})) = 0</f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3" x14ac:dyDescent="0.15">
      <c r="A17" s="2" t="s">
        <v>2</v>
      </c>
      <c r="B17" s="2" t="b">
        <f t="array" ref="B17">SUMPRODUCT(COUNTIF(C22:C117, {"*_*","*.*","* *"})) = 0</f>
        <v>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3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x14ac:dyDescent="0.15">
      <c r="A19" s="1" t="s">
        <v>19</v>
      </c>
      <c r="B19" s="2"/>
      <c r="C19" s="2"/>
      <c r="D19" s="2"/>
      <c r="E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x14ac:dyDescent="0.15">
      <c r="A20" s="1" t="s">
        <v>199</v>
      </c>
      <c r="B20" s="2"/>
      <c r="C20" s="2"/>
      <c r="D20" s="2"/>
      <c r="E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x14ac:dyDescent="0.15">
      <c r="A21" s="1" t="s">
        <v>0</v>
      </c>
      <c r="B21" s="1" t="s">
        <v>1</v>
      </c>
      <c r="C21" s="1" t="s">
        <v>2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3" x14ac:dyDescent="0.15">
      <c r="A22" s="2" t="str">
        <f>CONCATENATE($B$12, "-",$B$9,"-",CALCULATIONS!F3,"-L",$B$8)</f>
        <v>16S-A-A01-L0</v>
      </c>
      <c r="B22" s="3" t="str">
        <f>CONCATENATE($B$11,"-",CALCULATIONS!F3)</f>
        <v>platename-A01</v>
      </c>
      <c r="C22" s="10" t="str">
        <f t="shared" ref="C22:C117" si="0">$B$10</f>
        <v>default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3" x14ac:dyDescent="0.15">
      <c r="A23" s="2" t="str">
        <f>CONCATENATE($B$12, "-",$B$9,"-",CALCULATIONS!F4,"-L",$B$8)</f>
        <v>16S-A-A02-L0</v>
      </c>
      <c r="B23" s="3" t="str">
        <f>CONCATENATE($B$11,"-",CALCULATIONS!F4)</f>
        <v>platename-A02</v>
      </c>
      <c r="C23" s="10" t="str">
        <f t="shared" si="0"/>
        <v>default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3" x14ac:dyDescent="0.15">
      <c r="A24" s="2" t="str">
        <f>CONCATENATE($B$12, "-",$B$9,"-",CALCULATIONS!F5,"-L",$B$8)</f>
        <v>16S-A-A03-L0</v>
      </c>
      <c r="B24" s="3" t="str">
        <f>CONCATENATE($B$11,"-",CALCULATIONS!F5)</f>
        <v>platename-A03</v>
      </c>
      <c r="C24" s="10" t="str">
        <f t="shared" si="0"/>
        <v>default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3" x14ac:dyDescent="0.15">
      <c r="A25" s="2" t="str">
        <f>CONCATENATE($B$12, "-",$B$9,"-",CALCULATIONS!F6,"-L",$B$8)</f>
        <v>16S-A-A04-L0</v>
      </c>
      <c r="B25" s="3" t="str">
        <f>CONCATENATE($B$11,"-",CALCULATIONS!F6)</f>
        <v>platename-A04</v>
      </c>
      <c r="C25" s="10" t="str">
        <f t="shared" si="0"/>
        <v>default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3" x14ac:dyDescent="0.15">
      <c r="A26" s="2" t="str">
        <f>CONCATENATE($B$12, "-",$B$9,"-",CALCULATIONS!F7,"-L",$B$8)</f>
        <v>16S-A-A05-L0</v>
      </c>
      <c r="B26" s="3" t="str">
        <f>CONCATENATE($B$11,"-",CALCULATIONS!F7)</f>
        <v>platename-A05</v>
      </c>
      <c r="C26" s="10" t="str">
        <f t="shared" si="0"/>
        <v>default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3" x14ac:dyDescent="0.15">
      <c r="A27" s="2" t="str">
        <f>CONCATENATE($B$12, "-",$B$9,"-",CALCULATIONS!F8,"-L",$B$8)</f>
        <v>16S-A-A06-L0</v>
      </c>
      <c r="B27" s="3" t="str">
        <f>CONCATENATE($B$11,"-",CALCULATIONS!F8)</f>
        <v>platename-A06</v>
      </c>
      <c r="C27" s="10" t="str">
        <f t="shared" si="0"/>
        <v>default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3" x14ac:dyDescent="0.15">
      <c r="A28" s="2" t="str">
        <f>CONCATENATE($B$12, "-",$B$9,"-",CALCULATIONS!F9,"-L",$B$8)</f>
        <v>16S-A-A07-L0</v>
      </c>
      <c r="B28" s="3" t="str">
        <f>CONCATENATE($B$11,"-",CALCULATIONS!F9)</f>
        <v>platename-A07</v>
      </c>
      <c r="C28" s="10" t="str">
        <f t="shared" si="0"/>
        <v>default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3" x14ac:dyDescent="0.15">
      <c r="A29" s="2" t="str">
        <f>CONCATENATE($B$12, "-",$B$9,"-",CALCULATIONS!F10,"-L",$B$8)</f>
        <v>16S-A-A08-L0</v>
      </c>
      <c r="B29" s="3" t="str">
        <f>CONCATENATE($B$11,"-",CALCULATIONS!F10)</f>
        <v>platename-A08</v>
      </c>
      <c r="C29" s="10" t="str">
        <f t="shared" si="0"/>
        <v>default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3" x14ac:dyDescent="0.15">
      <c r="A30" s="2" t="str">
        <f>CONCATENATE($B$12, "-",$B$9,"-",CALCULATIONS!F11,"-L",$B$8)</f>
        <v>16S-A-A09-L0</v>
      </c>
      <c r="B30" s="3" t="str">
        <f>CONCATENATE($B$11,"-",CALCULATIONS!F11)</f>
        <v>platename-A09</v>
      </c>
      <c r="C30" s="10" t="str">
        <f t="shared" si="0"/>
        <v>default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3" x14ac:dyDescent="0.15">
      <c r="A31" s="2" t="str">
        <f>CONCATENATE($B$12, "-",$B$9,"-",CALCULATIONS!F12,"-L",$B$8)</f>
        <v>16S-A-A10-L0</v>
      </c>
      <c r="B31" s="3" t="str">
        <f>CONCATENATE($B$11,"-",CALCULATIONS!F12)</f>
        <v>platename-A10</v>
      </c>
      <c r="C31" s="10" t="str">
        <f t="shared" si="0"/>
        <v>default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3" x14ac:dyDescent="0.15">
      <c r="A32" s="2" t="str">
        <f>CONCATENATE($B$12, "-",$B$9,"-",CALCULATIONS!F13,"-L",$B$8)</f>
        <v>16S-A-A11-L0</v>
      </c>
      <c r="B32" s="3" t="str">
        <f>CONCATENATE($B$11,"-",CALCULATIONS!F13)</f>
        <v>platename-A11</v>
      </c>
      <c r="C32" s="10" t="str">
        <f t="shared" si="0"/>
        <v>default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3" x14ac:dyDescent="0.15">
      <c r="A33" s="2" t="str">
        <f>CONCATENATE($B$12, "-",$B$9,"-",CALCULATIONS!F14,"-L",$B$8)</f>
        <v>16S-A-A12-L0</v>
      </c>
      <c r="B33" s="3" t="str">
        <f>CONCATENATE($B$11,"-",CALCULATIONS!F14)</f>
        <v>platename-A12</v>
      </c>
      <c r="C33" s="10" t="str">
        <f t="shared" si="0"/>
        <v>default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3" x14ac:dyDescent="0.15">
      <c r="A34" s="2" t="str">
        <f>CONCATENATE($B$12, "-",$B$9,"-",CALCULATIONS!F15,"-L",$B$8)</f>
        <v>16S-A-B01-L0</v>
      </c>
      <c r="B34" s="3" t="str">
        <f>CONCATENATE($B$11,"-",CALCULATIONS!F15)</f>
        <v>platename-B01</v>
      </c>
      <c r="C34" s="10" t="str">
        <f t="shared" si="0"/>
        <v>default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3" x14ac:dyDescent="0.15">
      <c r="A35" s="2" t="str">
        <f>CONCATENATE($B$12, "-",$B$9,"-",CALCULATIONS!F16,"-L",$B$8)</f>
        <v>16S-A-B02-L0</v>
      </c>
      <c r="B35" s="3" t="str">
        <f>CONCATENATE($B$11,"-",CALCULATIONS!F16)</f>
        <v>platename-B02</v>
      </c>
      <c r="C35" s="10" t="str">
        <f t="shared" si="0"/>
        <v>default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3" x14ac:dyDescent="0.15">
      <c r="A36" s="2" t="str">
        <f>CONCATENATE($B$12, "-",$B$9,"-",CALCULATIONS!F17,"-L",$B$8)</f>
        <v>16S-A-B03-L0</v>
      </c>
      <c r="B36" s="3" t="str">
        <f>CONCATENATE($B$11,"-",CALCULATIONS!F17)</f>
        <v>platename-B03</v>
      </c>
      <c r="C36" s="10" t="str">
        <f t="shared" si="0"/>
        <v>default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3" x14ac:dyDescent="0.15">
      <c r="A37" s="2" t="str">
        <f>CONCATENATE($B$12, "-",$B$9,"-",CALCULATIONS!F18,"-L",$B$8)</f>
        <v>16S-A-B04-L0</v>
      </c>
      <c r="B37" s="3" t="str">
        <f>CONCATENATE($B$11,"-",CALCULATIONS!F18)</f>
        <v>platename-B04</v>
      </c>
      <c r="C37" s="10" t="str">
        <f t="shared" si="0"/>
        <v>default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3" x14ac:dyDescent="0.15">
      <c r="A38" s="2" t="str">
        <f>CONCATENATE($B$12, "-",$B$9,"-",CALCULATIONS!F19,"-L",$B$8)</f>
        <v>16S-A-B05-L0</v>
      </c>
      <c r="B38" s="3" t="str">
        <f>CONCATENATE($B$11,"-",CALCULATIONS!F19)</f>
        <v>platename-B05</v>
      </c>
      <c r="C38" s="10" t="str">
        <f t="shared" si="0"/>
        <v>default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3" x14ac:dyDescent="0.15">
      <c r="A39" s="2" t="str">
        <f>CONCATENATE($B$12, "-",$B$9,"-",CALCULATIONS!F20,"-L",$B$8)</f>
        <v>16S-A-B06-L0</v>
      </c>
      <c r="B39" s="3" t="str">
        <f>CONCATENATE($B$11,"-",CALCULATIONS!F20)</f>
        <v>platename-B06</v>
      </c>
      <c r="C39" s="10" t="str">
        <f t="shared" si="0"/>
        <v>default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3" x14ac:dyDescent="0.15">
      <c r="A40" s="2" t="str">
        <f>CONCATENATE($B$12, "-",$B$9,"-",CALCULATIONS!F21,"-L",$B$8)</f>
        <v>16S-A-B07-L0</v>
      </c>
      <c r="B40" s="3" t="str">
        <f>CONCATENATE($B$11,"-",CALCULATIONS!F21)</f>
        <v>platename-B07</v>
      </c>
      <c r="C40" s="10" t="str">
        <f t="shared" si="0"/>
        <v>default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3" x14ac:dyDescent="0.15">
      <c r="A41" s="2" t="str">
        <f>CONCATENATE($B$12, "-",$B$9,"-",CALCULATIONS!F22,"-L",$B$8)</f>
        <v>16S-A-B08-L0</v>
      </c>
      <c r="B41" s="3" t="str">
        <f>CONCATENATE($B$11,"-",CALCULATIONS!F22)</f>
        <v>platename-B08</v>
      </c>
      <c r="C41" s="10" t="str">
        <f t="shared" si="0"/>
        <v>default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3" x14ac:dyDescent="0.15">
      <c r="A42" s="2" t="str">
        <f>CONCATENATE($B$12, "-",$B$9,"-",CALCULATIONS!F23,"-L",$B$8)</f>
        <v>16S-A-B09-L0</v>
      </c>
      <c r="B42" s="3" t="str">
        <f>CONCATENATE($B$11,"-",CALCULATIONS!F23)</f>
        <v>platename-B09</v>
      </c>
      <c r="C42" s="10" t="str">
        <f t="shared" si="0"/>
        <v>default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3" x14ac:dyDescent="0.15">
      <c r="A43" s="2" t="str">
        <f>CONCATENATE($B$12, "-",$B$9,"-",CALCULATIONS!F24,"-L",$B$8)</f>
        <v>16S-A-B10-L0</v>
      </c>
      <c r="B43" s="3" t="str">
        <f>CONCATENATE($B$11,"-",CALCULATIONS!F24)</f>
        <v>platename-B10</v>
      </c>
      <c r="C43" s="10" t="str">
        <f t="shared" si="0"/>
        <v>default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3" x14ac:dyDescent="0.15">
      <c r="A44" s="2" t="str">
        <f>CONCATENATE($B$12, "-",$B$9,"-",CALCULATIONS!F25,"-L",$B$8)</f>
        <v>16S-A-B11-L0</v>
      </c>
      <c r="B44" s="3" t="str">
        <f>CONCATENATE($B$11,"-",CALCULATIONS!F25)</f>
        <v>platename-B11</v>
      </c>
      <c r="C44" s="10" t="str">
        <f t="shared" si="0"/>
        <v>default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3" x14ac:dyDescent="0.15">
      <c r="A45" s="2" t="str">
        <f>CONCATENATE($B$12, "-",$B$9,"-",CALCULATIONS!F26,"-L",$B$8)</f>
        <v>16S-A-B12-L0</v>
      </c>
      <c r="B45" s="3" t="str">
        <f>CONCATENATE($B$11,"-",CALCULATIONS!F26)</f>
        <v>platename-B12</v>
      </c>
      <c r="C45" s="10" t="str">
        <f t="shared" si="0"/>
        <v>default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3" x14ac:dyDescent="0.15">
      <c r="A46" s="2" t="str">
        <f>CONCATENATE($B$12, "-",$B$9,"-",CALCULATIONS!F27,"-L",$B$8)</f>
        <v>16S-A-C01-L0</v>
      </c>
      <c r="B46" s="3" t="str">
        <f>CONCATENATE($B$11,"-",CALCULATIONS!F27)</f>
        <v>platename-C01</v>
      </c>
      <c r="C46" s="10" t="str">
        <f t="shared" si="0"/>
        <v>default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3" x14ac:dyDescent="0.15">
      <c r="A47" s="2" t="str">
        <f>CONCATENATE($B$12, "-",$B$9,"-",CALCULATIONS!F28,"-L",$B$8)</f>
        <v>16S-A-C02-L0</v>
      </c>
      <c r="B47" s="3" t="str">
        <f>CONCATENATE($B$11,"-",CALCULATIONS!F28)</f>
        <v>platename-C02</v>
      </c>
      <c r="C47" s="10" t="str">
        <f t="shared" si="0"/>
        <v>default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3" x14ac:dyDescent="0.15">
      <c r="A48" s="2" t="str">
        <f>CONCATENATE($B$12, "-",$B$9,"-",CALCULATIONS!F29,"-L",$B$8)</f>
        <v>16S-A-C03-L0</v>
      </c>
      <c r="B48" s="3" t="str">
        <f>CONCATENATE($B$11,"-",CALCULATIONS!F29)</f>
        <v>platename-C03</v>
      </c>
      <c r="C48" s="10" t="str">
        <f t="shared" si="0"/>
        <v>default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3" x14ac:dyDescent="0.15">
      <c r="A49" s="2" t="str">
        <f>CONCATENATE($B$12, "-",$B$9,"-",CALCULATIONS!F30,"-L",$B$8)</f>
        <v>16S-A-C04-L0</v>
      </c>
      <c r="B49" s="3" t="str">
        <f>CONCATENATE($B$11,"-",CALCULATIONS!F30)</f>
        <v>platename-C04</v>
      </c>
      <c r="C49" s="10" t="str">
        <f t="shared" si="0"/>
        <v>default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3" x14ac:dyDescent="0.15">
      <c r="A50" s="2" t="str">
        <f>CONCATENATE($B$12, "-",$B$9,"-",CALCULATIONS!F31,"-L",$B$8)</f>
        <v>16S-A-C05-L0</v>
      </c>
      <c r="B50" s="3" t="str">
        <f>CONCATENATE($B$11,"-",CALCULATIONS!F31)</f>
        <v>platename-C05</v>
      </c>
      <c r="C50" s="10" t="str">
        <f t="shared" si="0"/>
        <v>default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3" x14ac:dyDescent="0.15">
      <c r="A51" s="2" t="str">
        <f>CONCATENATE($B$12, "-",$B$9,"-",CALCULATIONS!F32,"-L",$B$8)</f>
        <v>16S-A-C06-L0</v>
      </c>
      <c r="B51" s="3" t="str">
        <f>CONCATENATE($B$11,"-",CALCULATIONS!F32)</f>
        <v>platename-C06</v>
      </c>
      <c r="C51" s="10" t="str">
        <f t="shared" si="0"/>
        <v>default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3" x14ac:dyDescent="0.15">
      <c r="A52" s="2" t="str">
        <f>CONCATENATE($B$12, "-",$B$9,"-",CALCULATIONS!F33,"-L",$B$8)</f>
        <v>16S-A-C07-L0</v>
      </c>
      <c r="B52" s="3" t="str">
        <f>CONCATENATE($B$11,"-",CALCULATIONS!F33)</f>
        <v>platename-C07</v>
      </c>
      <c r="C52" s="10" t="str">
        <f t="shared" si="0"/>
        <v>default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3" x14ac:dyDescent="0.15">
      <c r="A53" s="2" t="str">
        <f>CONCATENATE($B$12, "-",$B$9,"-",CALCULATIONS!F34,"-L",$B$8)</f>
        <v>16S-A-C08-L0</v>
      </c>
      <c r="B53" s="3" t="str">
        <f>CONCATENATE($B$11,"-",CALCULATIONS!F34)</f>
        <v>platename-C08</v>
      </c>
      <c r="C53" s="10" t="str">
        <f t="shared" si="0"/>
        <v>default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3" x14ac:dyDescent="0.15">
      <c r="A54" s="2" t="str">
        <f>CONCATENATE($B$12, "-",$B$9,"-",CALCULATIONS!F35,"-L",$B$8)</f>
        <v>16S-A-C09-L0</v>
      </c>
      <c r="B54" s="3" t="str">
        <f>CONCATENATE($B$11,"-",CALCULATIONS!F35)</f>
        <v>platename-C09</v>
      </c>
      <c r="C54" s="10" t="str">
        <f t="shared" si="0"/>
        <v>default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3" x14ac:dyDescent="0.15">
      <c r="A55" s="2" t="str">
        <f>CONCATENATE($B$12, "-",$B$9,"-",CALCULATIONS!F36,"-L",$B$8)</f>
        <v>16S-A-C10-L0</v>
      </c>
      <c r="B55" s="3" t="str">
        <f>CONCATENATE($B$11,"-",CALCULATIONS!F36)</f>
        <v>platename-C10</v>
      </c>
      <c r="C55" s="10" t="str">
        <f t="shared" si="0"/>
        <v>default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3" x14ac:dyDescent="0.15">
      <c r="A56" s="2" t="str">
        <f>CONCATENATE($B$12, "-",$B$9,"-",CALCULATIONS!F37,"-L",$B$8)</f>
        <v>16S-A-C11-L0</v>
      </c>
      <c r="B56" s="3" t="str">
        <f>CONCATENATE($B$11,"-",CALCULATIONS!F37)</f>
        <v>platename-C11</v>
      </c>
      <c r="C56" s="10" t="str">
        <f t="shared" si="0"/>
        <v>default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3" x14ac:dyDescent="0.15">
      <c r="A57" s="2" t="str">
        <f>CONCATENATE($B$12, "-",$B$9,"-",CALCULATIONS!F38,"-L",$B$8)</f>
        <v>16S-A-C12-L0</v>
      </c>
      <c r="B57" s="3" t="str">
        <f>CONCATENATE($B$11,"-",CALCULATIONS!F38)</f>
        <v>platename-C12</v>
      </c>
      <c r="C57" s="10" t="str">
        <f t="shared" si="0"/>
        <v>default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3" x14ac:dyDescent="0.15">
      <c r="A58" s="2" t="str">
        <f>CONCATENATE($B$12, "-",$B$9,"-",CALCULATIONS!F39,"-L",$B$8)</f>
        <v>16S-A-D01-L0</v>
      </c>
      <c r="B58" s="3" t="str">
        <f>CONCATENATE($B$11,"-",CALCULATIONS!F39)</f>
        <v>platename-D01</v>
      </c>
      <c r="C58" s="10" t="str">
        <f t="shared" si="0"/>
        <v>default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3" x14ac:dyDescent="0.15">
      <c r="A59" s="2" t="str">
        <f>CONCATENATE($B$12, "-",$B$9,"-",CALCULATIONS!F40,"-L",$B$8)</f>
        <v>16S-A-D02-L0</v>
      </c>
      <c r="B59" s="3" t="str">
        <f>CONCATENATE($B$11,"-",CALCULATIONS!F40)</f>
        <v>platename-D02</v>
      </c>
      <c r="C59" s="10" t="str">
        <f t="shared" si="0"/>
        <v>default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3" x14ac:dyDescent="0.15">
      <c r="A60" s="2" t="str">
        <f>CONCATENATE($B$12, "-",$B$9,"-",CALCULATIONS!F41,"-L",$B$8)</f>
        <v>16S-A-D03-L0</v>
      </c>
      <c r="B60" s="3" t="str">
        <f>CONCATENATE($B$11,"-",CALCULATIONS!F41)</f>
        <v>platename-D03</v>
      </c>
      <c r="C60" s="10" t="str">
        <f t="shared" si="0"/>
        <v>default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3" x14ac:dyDescent="0.15">
      <c r="A61" s="2" t="str">
        <f>CONCATENATE($B$12, "-",$B$9,"-",CALCULATIONS!F42,"-L",$B$8)</f>
        <v>16S-A-D04-L0</v>
      </c>
      <c r="B61" s="3" t="str">
        <f>CONCATENATE($B$11,"-",CALCULATIONS!F42)</f>
        <v>platename-D04</v>
      </c>
      <c r="C61" s="10" t="str">
        <f t="shared" si="0"/>
        <v>default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3" x14ac:dyDescent="0.15">
      <c r="A62" s="2" t="str">
        <f>CONCATENATE($B$12, "-",$B$9,"-",CALCULATIONS!F43,"-L",$B$8)</f>
        <v>16S-A-D05-L0</v>
      </c>
      <c r="B62" s="3" t="str">
        <f>CONCATENATE($B$11,"-",CALCULATIONS!F43)</f>
        <v>platename-D05</v>
      </c>
      <c r="C62" s="10" t="str">
        <f t="shared" si="0"/>
        <v>default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3" x14ac:dyDescent="0.15">
      <c r="A63" s="2" t="str">
        <f>CONCATENATE($B$12, "-",$B$9,"-",CALCULATIONS!F44,"-L",$B$8)</f>
        <v>16S-A-D06-L0</v>
      </c>
      <c r="B63" s="3" t="str">
        <f>CONCATENATE($B$11,"-",CALCULATIONS!F44)</f>
        <v>platename-D06</v>
      </c>
      <c r="C63" s="10" t="str">
        <f t="shared" si="0"/>
        <v>default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3" x14ac:dyDescent="0.15">
      <c r="A64" s="2" t="str">
        <f>CONCATENATE($B$12, "-",$B$9,"-",CALCULATIONS!F45,"-L",$B$8)</f>
        <v>16S-A-D07-L0</v>
      </c>
      <c r="B64" s="3" t="str">
        <f>CONCATENATE($B$11,"-",CALCULATIONS!F45)</f>
        <v>platename-D07</v>
      </c>
      <c r="C64" s="10" t="str">
        <f t="shared" si="0"/>
        <v>default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3" x14ac:dyDescent="0.15">
      <c r="A65" s="2" t="str">
        <f>CONCATENATE($B$12, "-",$B$9,"-",CALCULATIONS!F46,"-L",$B$8)</f>
        <v>16S-A-D08-L0</v>
      </c>
      <c r="B65" s="3" t="str">
        <f>CONCATENATE($B$11,"-",CALCULATIONS!F46)</f>
        <v>platename-D08</v>
      </c>
      <c r="C65" s="10" t="str">
        <f t="shared" si="0"/>
        <v>default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3" x14ac:dyDescent="0.15">
      <c r="A66" s="2" t="str">
        <f>CONCATENATE($B$12, "-",$B$9,"-",CALCULATIONS!F47,"-L",$B$8)</f>
        <v>16S-A-D09-L0</v>
      </c>
      <c r="B66" s="3" t="str">
        <f>CONCATENATE($B$11,"-",CALCULATIONS!F47)</f>
        <v>platename-D09</v>
      </c>
      <c r="C66" s="10" t="str">
        <f t="shared" si="0"/>
        <v>default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3" x14ac:dyDescent="0.15">
      <c r="A67" s="2" t="str">
        <f>CONCATENATE($B$12, "-",$B$9,"-",CALCULATIONS!F48,"-L",$B$8)</f>
        <v>16S-A-D10-L0</v>
      </c>
      <c r="B67" s="3" t="str">
        <f>CONCATENATE($B$11,"-",CALCULATIONS!F48)</f>
        <v>platename-D10</v>
      </c>
      <c r="C67" s="10" t="str">
        <f t="shared" si="0"/>
        <v>default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3" x14ac:dyDescent="0.15">
      <c r="A68" s="2" t="str">
        <f>CONCATENATE($B$12, "-",$B$9,"-",CALCULATIONS!F49,"-L",$B$8)</f>
        <v>16S-A-D11-L0</v>
      </c>
      <c r="B68" s="3" t="str">
        <f>CONCATENATE($B$11,"-",CALCULATIONS!F49)</f>
        <v>platename-D11</v>
      </c>
      <c r="C68" s="10" t="str">
        <f t="shared" si="0"/>
        <v>default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3" x14ac:dyDescent="0.15">
      <c r="A69" s="2" t="str">
        <f>CONCATENATE($B$12, "-",$B$9,"-",CALCULATIONS!F50,"-L",$B$8)</f>
        <v>16S-A-D12-L0</v>
      </c>
      <c r="B69" s="3" t="str">
        <f>CONCATENATE($B$11,"-",CALCULATIONS!F50)</f>
        <v>platename-D12</v>
      </c>
      <c r="C69" s="10" t="str">
        <f t="shared" si="0"/>
        <v>default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3" x14ac:dyDescent="0.15">
      <c r="A70" s="2" t="str">
        <f>CONCATENATE($B$12, "-",$B$9,"-",CALCULATIONS!F51,"-L",$B$8)</f>
        <v>16S-A-E01-L0</v>
      </c>
      <c r="B70" s="3" t="str">
        <f>CONCATENATE($B$11,"-",CALCULATIONS!F51)</f>
        <v>platename-E01</v>
      </c>
      <c r="C70" s="10" t="str">
        <f t="shared" si="0"/>
        <v>default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3" x14ac:dyDescent="0.15">
      <c r="A71" s="2" t="str">
        <f>CONCATENATE($B$12, "-",$B$9,"-",CALCULATIONS!F52,"-L",$B$8)</f>
        <v>16S-A-E02-L0</v>
      </c>
      <c r="B71" s="3" t="str">
        <f>CONCATENATE($B$11,"-",CALCULATIONS!F52)</f>
        <v>platename-E02</v>
      </c>
      <c r="C71" s="10" t="str">
        <f t="shared" si="0"/>
        <v>default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3" x14ac:dyDescent="0.15">
      <c r="A72" s="2" t="str">
        <f>CONCATENATE($B$12, "-",$B$9,"-",CALCULATIONS!F53,"-L",$B$8)</f>
        <v>16S-A-E03-L0</v>
      </c>
      <c r="B72" s="3" t="str">
        <f>CONCATENATE($B$11,"-",CALCULATIONS!F53)</f>
        <v>platename-E03</v>
      </c>
      <c r="C72" s="10" t="str">
        <f t="shared" si="0"/>
        <v>default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3" x14ac:dyDescent="0.15">
      <c r="A73" s="2" t="str">
        <f>CONCATENATE($B$12, "-",$B$9,"-",CALCULATIONS!F54,"-L",$B$8)</f>
        <v>16S-A-E04-L0</v>
      </c>
      <c r="B73" s="3" t="str">
        <f>CONCATENATE($B$11,"-",CALCULATIONS!F54)</f>
        <v>platename-E04</v>
      </c>
      <c r="C73" s="10" t="str">
        <f t="shared" si="0"/>
        <v>default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3" x14ac:dyDescent="0.15">
      <c r="A74" s="2" t="str">
        <f>CONCATENATE($B$12, "-",$B$9,"-",CALCULATIONS!F55,"-L",$B$8)</f>
        <v>16S-A-E05-L0</v>
      </c>
      <c r="B74" s="3" t="str">
        <f>CONCATENATE($B$11,"-",CALCULATIONS!F55)</f>
        <v>platename-E05</v>
      </c>
      <c r="C74" s="10" t="str">
        <f t="shared" si="0"/>
        <v>default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3" x14ac:dyDescent="0.15">
      <c r="A75" s="2" t="str">
        <f>CONCATENATE($B$12, "-",$B$9,"-",CALCULATIONS!F56,"-L",$B$8)</f>
        <v>16S-A-E06-L0</v>
      </c>
      <c r="B75" s="3" t="str">
        <f>CONCATENATE($B$11,"-",CALCULATIONS!F56)</f>
        <v>platename-E06</v>
      </c>
      <c r="C75" s="10" t="str">
        <f t="shared" si="0"/>
        <v>default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3" x14ac:dyDescent="0.15">
      <c r="A76" s="2" t="str">
        <f>CONCATENATE($B$12, "-",$B$9,"-",CALCULATIONS!F57,"-L",$B$8)</f>
        <v>16S-A-E07-L0</v>
      </c>
      <c r="B76" s="3" t="str">
        <f>CONCATENATE($B$11,"-",CALCULATIONS!F57)</f>
        <v>platename-E07</v>
      </c>
      <c r="C76" s="10" t="str">
        <f t="shared" si="0"/>
        <v>default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3" x14ac:dyDescent="0.15">
      <c r="A77" s="2" t="str">
        <f>CONCATENATE($B$12, "-",$B$9,"-",CALCULATIONS!F58,"-L",$B$8)</f>
        <v>16S-A-E08-L0</v>
      </c>
      <c r="B77" s="3" t="str">
        <f>CONCATENATE($B$11,"-",CALCULATIONS!F58)</f>
        <v>platename-E08</v>
      </c>
      <c r="C77" s="10" t="str">
        <f t="shared" si="0"/>
        <v>default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3" x14ac:dyDescent="0.15">
      <c r="A78" s="2" t="str">
        <f>CONCATENATE($B$12, "-",$B$9,"-",CALCULATIONS!F59,"-L",$B$8)</f>
        <v>16S-A-E09-L0</v>
      </c>
      <c r="B78" s="3" t="str">
        <f>CONCATENATE($B$11,"-",CALCULATIONS!F59)</f>
        <v>platename-E09</v>
      </c>
      <c r="C78" s="10" t="str">
        <f t="shared" si="0"/>
        <v>default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3" x14ac:dyDescent="0.15">
      <c r="A79" s="2" t="str">
        <f>CONCATENATE($B$12, "-",$B$9,"-",CALCULATIONS!F60,"-L",$B$8)</f>
        <v>16S-A-E10-L0</v>
      </c>
      <c r="B79" s="3" t="str">
        <f>CONCATENATE($B$11,"-",CALCULATIONS!F60)</f>
        <v>platename-E10</v>
      </c>
      <c r="C79" s="10" t="str">
        <f t="shared" si="0"/>
        <v>default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3" x14ac:dyDescent="0.15">
      <c r="A80" s="2" t="str">
        <f>CONCATENATE($B$12, "-",$B$9,"-",CALCULATIONS!F61,"-L",$B$8)</f>
        <v>16S-A-E11-L0</v>
      </c>
      <c r="B80" s="3" t="str">
        <f>CONCATENATE($B$11,"-",CALCULATIONS!F61)</f>
        <v>platename-E11</v>
      </c>
      <c r="C80" s="10" t="str">
        <f t="shared" si="0"/>
        <v>default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3" x14ac:dyDescent="0.15">
      <c r="A81" s="2" t="str">
        <f>CONCATENATE($B$12, "-",$B$9,"-",CALCULATIONS!F62,"-L",$B$8)</f>
        <v>16S-A-E12-L0</v>
      </c>
      <c r="B81" s="3" t="str">
        <f>CONCATENATE($B$11,"-",CALCULATIONS!F62)</f>
        <v>platename-E12</v>
      </c>
      <c r="C81" s="10" t="str">
        <f t="shared" si="0"/>
        <v>default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3" x14ac:dyDescent="0.15">
      <c r="A82" s="2" t="str">
        <f>CONCATENATE($B$12, "-",$B$9,"-",CALCULATIONS!F63,"-L",$B$8)</f>
        <v>16S-A-F01-L0</v>
      </c>
      <c r="B82" s="3" t="str">
        <f>CONCATENATE($B$11,"-",CALCULATIONS!F63)</f>
        <v>platename-F01</v>
      </c>
      <c r="C82" s="10" t="str">
        <f t="shared" si="0"/>
        <v>default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3" x14ac:dyDescent="0.15">
      <c r="A83" s="2" t="str">
        <f>CONCATENATE($B$12, "-",$B$9,"-",CALCULATIONS!F64,"-L",$B$8)</f>
        <v>16S-A-F02-L0</v>
      </c>
      <c r="B83" s="3" t="str">
        <f>CONCATENATE($B$11,"-",CALCULATIONS!F64)</f>
        <v>platename-F02</v>
      </c>
      <c r="C83" s="10" t="str">
        <f t="shared" si="0"/>
        <v>default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3" x14ac:dyDescent="0.15">
      <c r="A84" s="2" t="str">
        <f>CONCATENATE($B$12, "-",$B$9,"-",CALCULATIONS!F65,"-L",$B$8)</f>
        <v>16S-A-F03-L0</v>
      </c>
      <c r="B84" s="3" t="str">
        <f>CONCATENATE($B$11,"-",CALCULATIONS!F65)</f>
        <v>platename-F03</v>
      </c>
      <c r="C84" s="10" t="str">
        <f t="shared" si="0"/>
        <v>default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3" x14ac:dyDescent="0.15">
      <c r="A85" s="2" t="str">
        <f>CONCATENATE($B$12, "-",$B$9,"-",CALCULATIONS!F66,"-L",$B$8)</f>
        <v>16S-A-F04-L0</v>
      </c>
      <c r="B85" s="3" t="str">
        <f>CONCATENATE($B$11,"-",CALCULATIONS!F66)</f>
        <v>platename-F04</v>
      </c>
      <c r="C85" s="10" t="str">
        <f t="shared" si="0"/>
        <v>default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3" x14ac:dyDescent="0.15">
      <c r="A86" s="2" t="str">
        <f>CONCATENATE($B$12, "-",$B$9,"-",CALCULATIONS!F67,"-L",$B$8)</f>
        <v>16S-A-F05-L0</v>
      </c>
      <c r="B86" s="3" t="str">
        <f>CONCATENATE($B$11,"-",CALCULATIONS!F67)</f>
        <v>platename-F05</v>
      </c>
      <c r="C86" s="10" t="str">
        <f t="shared" si="0"/>
        <v>default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3" x14ac:dyDescent="0.15">
      <c r="A87" s="2" t="str">
        <f>CONCATENATE($B$12, "-",$B$9,"-",CALCULATIONS!F68,"-L",$B$8)</f>
        <v>16S-A-F06-L0</v>
      </c>
      <c r="B87" s="3" t="str">
        <f>CONCATENATE($B$11,"-",CALCULATIONS!F68)</f>
        <v>platename-F06</v>
      </c>
      <c r="C87" s="10" t="str">
        <f t="shared" si="0"/>
        <v>default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3" x14ac:dyDescent="0.15">
      <c r="A88" s="2" t="str">
        <f>CONCATENATE($B$12, "-",$B$9,"-",CALCULATIONS!F69,"-L",$B$8)</f>
        <v>16S-A-F07-L0</v>
      </c>
      <c r="B88" s="3" t="str">
        <f>CONCATENATE($B$11,"-",CALCULATIONS!F69)</f>
        <v>platename-F07</v>
      </c>
      <c r="C88" s="10" t="str">
        <f t="shared" si="0"/>
        <v>default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3" x14ac:dyDescent="0.15">
      <c r="A89" s="2" t="str">
        <f>CONCATENATE($B$12, "-",$B$9,"-",CALCULATIONS!F70,"-L",$B$8)</f>
        <v>16S-A-F08-L0</v>
      </c>
      <c r="B89" s="3" t="str">
        <f>CONCATENATE($B$11,"-",CALCULATIONS!F70)</f>
        <v>platename-F08</v>
      </c>
      <c r="C89" s="10" t="str">
        <f t="shared" si="0"/>
        <v>default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3" x14ac:dyDescent="0.15">
      <c r="A90" s="2" t="str">
        <f>CONCATENATE($B$12, "-",$B$9,"-",CALCULATIONS!F71,"-L",$B$8)</f>
        <v>16S-A-F09-L0</v>
      </c>
      <c r="B90" s="3" t="str">
        <f>CONCATENATE($B$11,"-",CALCULATIONS!F71)</f>
        <v>platename-F09</v>
      </c>
      <c r="C90" s="10" t="str">
        <f t="shared" si="0"/>
        <v>default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3" x14ac:dyDescent="0.15">
      <c r="A91" s="2" t="str">
        <f>CONCATENATE($B$12, "-",$B$9,"-",CALCULATIONS!F72,"-L",$B$8)</f>
        <v>16S-A-F10-L0</v>
      </c>
      <c r="B91" s="3" t="str">
        <f>CONCATENATE($B$11,"-",CALCULATIONS!F72)</f>
        <v>platename-F10</v>
      </c>
      <c r="C91" s="10" t="str">
        <f t="shared" si="0"/>
        <v>default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3" x14ac:dyDescent="0.15">
      <c r="A92" s="2" t="str">
        <f>CONCATENATE($B$12, "-",$B$9,"-",CALCULATIONS!F73,"-L",$B$8)</f>
        <v>16S-A-F11-L0</v>
      </c>
      <c r="B92" s="3" t="str">
        <f>CONCATENATE($B$11,"-",CALCULATIONS!F73)</f>
        <v>platename-F11</v>
      </c>
      <c r="C92" s="10" t="str">
        <f t="shared" si="0"/>
        <v>default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3" x14ac:dyDescent="0.15">
      <c r="A93" s="2" t="str">
        <f>CONCATENATE($B$12, "-",$B$9,"-",CALCULATIONS!F74,"-L",$B$8)</f>
        <v>16S-A-F12-L0</v>
      </c>
      <c r="B93" s="3" t="str">
        <f>CONCATENATE($B$11,"-",CALCULATIONS!F74)</f>
        <v>platename-F12</v>
      </c>
      <c r="C93" s="10" t="str">
        <f t="shared" si="0"/>
        <v>default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3" x14ac:dyDescent="0.15">
      <c r="A94" s="2" t="str">
        <f>CONCATENATE($B$12, "-",$B$9,"-",CALCULATIONS!F75,"-L",$B$8)</f>
        <v>16S-A-G01-L0</v>
      </c>
      <c r="B94" s="3" t="str">
        <f>CONCATENATE($B$11,"-",CALCULATIONS!F75)</f>
        <v>platename-G01</v>
      </c>
      <c r="C94" s="10" t="str">
        <f t="shared" si="0"/>
        <v>default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3" x14ac:dyDescent="0.15">
      <c r="A95" s="2" t="str">
        <f>CONCATENATE($B$12, "-",$B$9,"-",CALCULATIONS!F76,"-L",$B$8)</f>
        <v>16S-A-G02-L0</v>
      </c>
      <c r="B95" s="3" t="str">
        <f>CONCATENATE($B$11,"-",CALCULATIONS!F76)</f>
        <v>platename-G02</v>
      </c>
      <c r="C95" s="10" t="str">
        <f t="shared" si="0"/>
        <v>default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3" x14ac:dyDescent="0.15">
      <c r="A96" s="2" t="str">
        <f>CONCATENATE($B$12, "-",$B$9,"-",CALCULATIONS!F77,"-L",$B$8)</f>
        <v>16S-A-G03-L0</v>
      </c>
      <c r="B96" s="3" t="str">
        <f>CONCATENATE($B$11,"-",CALCULATIONS!F77)</f>
        <v>platename-G03</v>
      </c>
      <c r="C96" s="10" t="str">
        <f t="shared" si="0"/>
        <v>default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3" x14ac:dyDescent="0.15">
      <c r="A97" s="2" t="str">
        <f>CONCATENATE($B$12, "-",$B$9,"-",CALCULATIONS!F78,"-L",$B$8)</f>
        <v>16S-A-G04-L0</v>
      </c>
      <c r="B97" s="3" t="str">
        <f>CONCATENATE($B$11,"-",CALCULATIONS!F78)</f>
        <v>platename-G04</v>
      </c>
      <c r="C97" s="10" t="str">
        <f t="shared" si="0"/>
        <v>default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3" x14ac:dyDescent="0.15">
      <c r="A98" s="2" t="str">
        <f>CONCATENATE($B$12, "-",$B$9,"-",CALCULATIONS!F79,"-L",$B$8)</f>
        <v>16S-A-G05-L0</v>
      </c>
      <c r="B98" s="3" t="str">
        <f>CONCATENATE($B$11,"-",CALCULATIONS!F79)</f>
        <v>platename-G05</v>
      </c>
      <c r="C98" s="10" t="str">
        <f t="shared" si="0"/>
        <v>default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3" x14ac:dyDescent="0.15">
      <c r="A99" s="2" t="str">
        <f>CONCATENATE($B$12, "-",$B$9,"-",CALCULATIONS!F80,"-L",$B$8)</f>
        <v>16S-A-G06-L0</v>
      </c>
      <c r="B99" s="3" t="str">
        <f>CONCATENATE($B$11,"-",CALCULATIONS!F80)</f>
        <v>platename-G06</v>
      </c>
      <c r="C99" s="10" t="str">
        <f t="shared" si="0"/>
        <v>default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3" x14ac:dyDescent="0.15">
      <c r="A100" s="2" t="str">
        <f>CONCATENATE($B$12, "-",$B$9,"-",CALCULATIONS!F81,"-L",$B$8)</f>
        <v>16S-A-G07-L0</v>
      </c>
      <c r="B100" s="3" t="str">
        <f>CONCATENATE($B$11,"-",CALCULATIONS!F81)</f>
        <v>platename-G07</v>
      </c>
      <c r="C100" s="10" t="str">
        <f t="shared" si="0"/>
        <v>default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3" x14ac:dyDescent="0.15">
      <c r="A101" s="2" t="str">
        <f>CONCATENATE($B$12, "-",$B$9,"-",CALCULATIONS!F82,"-L",$B$8)</f>
        <v>16S-A-G08-L0</v>
      </c>
      <c r="B101" s="3" t="str">
        <f>CONCATENATE($B$11,"-",CALCULATIONS!F82)</f>
        <v>platename-G08</v>
      </c>
      <c r="C101" s="10" t="str">
        <f t="shared" si="0"/>
        <v>default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3" x14ac:dyDescent="0.15">
      <c r="A102" s="2" t="str">
        <f>CONCATENATE($B$12, "-",$B$9,"-",CALCULATIONS!F83,"-L",$B$8)</f>
        <v>16S-A-G09-L0</v>
      </c>
      <c r="B102" s="3" t="str">
        <f>CONCATENATE($B$11,"-",CALCULATIONS!F83)</f>
        <v>platename-G09</v>
      </c>
      <c r="C102" s="10" t="str">
        <f t="shared" si="0"/>
        <v>default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3" x14ac:dyDescent="0.15">
      <c r="A103" s="2" t="str">
        <f>CONCATENATE($B$12, "-",$B$9,"-",CALCULATIONS!F84,"-L",$B$8)</f>
        <v>16S-A-G10-L0</v>
      </c>
      <c r="B103" s="3" t="str">
        <f>CONCATENATE($B$11,"-",CALCULATIONS!F84)</f>
        <v>platename-G10</v>
      </c>
      <c r="C103" s="10" t="str">
        <f t="shared" si="0"/>
        <v>default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3" x14ac:dyDescent="0.15">
      <c r="A104" s="2" t="str">
        <f>CONCATENATE($B$12, "-",$B$9,"-",CALCULATIONS!F85,"-L",$B$8)</f>
        <v>16S-A-G11-L0</v>
      </c>
      <c r="B104" s="3" t="str">
        <f>CONCATENATE($B$11,"-",CALCULATIONS!F85)</f>
        <v>platename-G11</v>
      </c>
      <c r="C104" s="10" t="str">
        <f t="shared" si="0"/>
        <v>default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3" x14ac:dyDescent="0.15">
      <c r="A105" s="2" t="str">
        <f>CONCATENATE($B$12, "-",$B$9,"-",CALCULATIONS!F86,"-L",$B$8)</f>
        <v>16S-A-G12-L0</v>
      </c>
      <c r="B105" s="3" t="str">
        <f>CONCATENATE($B$11,"-",CALCULATIONS!F86)</f>
        <v>platename-G12</v>
      </c>
      <c r="C105" s="10" t="str">
        <f t="shared" si="0"/>
        <v>default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3" x14ac:dyDescent="0.15">
      <c r="A106" s="2" t="str">
        <f>CONCATENATE($B$12, "-",$B$9,"-",CALCULATIONS!F87,"-L",$B$8)</f>
        <v>16S-A-H01-L0</v>
      </c>
      <c r="B106" s="3" t="str">
        <f>CONCATENATE($B$11,"-",CALCULATIONS!F87)</f>
        <v>platename-H01</v>
      </c>
      <c r="C106" s="10" t="str">
        <f t="shared" si="0"/>
        <v>default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3" x14ac:dyDescent="0.15">
      <c r="A107" s="2" t="str">
        <f>CONCATENATE($B$12, "-",$B$9,"-",CALCULATIONS!F88,"-L",$B$8)</f>
        <v>16S-A-H02-L0</v>
      </c>
      <c r="B107" s="3" t="str">
        <f>CONCATENATE($B$11,"-",CALCULATIONS!F88)</f>
        <v>platename-H02</v>
      </c>
      <c r="C107" s="10" t="str">
        <f t="shared" si="0"/>
        <v>default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3" x14ac:dyDescent="0.15">
      <c r="A108" s="2" t="str">
        <f>CONCATENATE($B$12, "-",$B$9,"-",CALCULATIONS!F89,"-L",$B$8)</f>
        <v>16S-A-H03-L0</v>
      </c>
      <c r="B108" s="3" t="str">
        <f>CONCATENATE($B$11,"-",CALCULATIONS!F89)</f>
        <v>platename-H03</v>
      </c>
      <c r="C108" s="10" t="str">
        <f t="shared" si="0"/>
        <v>default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3" x14ac:dyDescent="0.15">
      <c r="A109" s="2" t="str">
        <f>CONCATENATE($B$12, "-",$B$9,"-",CALCULATIONS!F90,"-L",$B$8)</f>
        <v>16S-A-H04-L0</v>
      </c>
      <c r="B109" s="3" t="str">
        <f>CONCATENATE($B$11,"-",CALCULATIONS!F90)</f>
        <v>platename-H04</v>
      </c>
      <c r="C109" s="10" t="str">
        <f t="shared" si="0"/>
        <v>default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3" x14ac:dyDescent="0.15">
      <c r="A110" s="2" t="str">
        <f>CONCATENATE($B$12, "-",$B$9,"-",CALCULATIONS!F91,"-L",$B$8)</f>
        <v>16S-A-H05-L0</v>
      </c>
      <c r="B110" s="3" t="str">
        <f>CONCATENATE($B$11,"-",CALCULATIONS!F91)</f>
        <v>platename-H05</v>
      </c>
      <c r="C110" s="10" t="str">
        <f t="shared" si="0"/>
        <v>default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3" x14ac:dyDescent="0.15">
      <c r="A111" s="2" t="str">
        <f>CONCATENATE($B$12, "-",$B$9,"-",CALCULATIONS!F92,"-L",$B$8)</f>
        <v>16S-A-H06-L0</v>
      </c>
      <c r="B111" s="3" t="str">
        <f>CONCATENATE($B$11,"-",CALCULATIONS!F92)</f>
        <v>platename-H06</v>
      </c>
      <c r="C111" s="10" t="str">
        <f t="shared" si="0"/>
        <v>default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3" x14ac:dyDescent="0.15">
      <c r="A112" s="2" t="str">
        <f>CONCATENATE($B$12, "-",$B$9,"-",CALCULATIONS!F93,"-L",$B$8)</f>
        <v>16S-A-H07-L0</v>
      </c>
      <c r="B112" s="3" t="str">
        <f>CONCATENATE($B$11,"-",CALCULATIONS!F93)</f>
        <v>platename-H07</v>
      </c>
      <c r="C112" s="10" t="str">
        <f t="shared" si="0"/>
        <v>default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3" x14ac:dyDescent="0.15">
      <c r="A113" s="2" t="str">
        <f>CONCATENATE($B$12, "-",$B$9,"-",CALCULATIONS!F94,"-L",$B$8)</f>
        <v>16S-A-H08-L0</v>
      </c>
      <c r="B113" s="3" t="str">
        <f>CONCATENATE($B$11,"-",CALCULATIONS!F94)</f>
        <v>platename-H08</v>
      </c>
      <c r="C113" s="10" t="str">
        <f t="shared" si="0"/>
        <v>default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3" x14ac:dyDescent="0.15">
      <c r="A114" s="2" t="str">
        <f>CONCATENATE($B$12, "-",$B$9,"-",CALCULATIONS!F95,"-L",$B$8)</f>
        <v>16S-A-H09-L0</v>
      </c>
      <c r="B114" s="3" t="str">
        <f>CONCATENATE($B$11,"-",CALCULATIONS!F95)</f>
        <v>platename-H09</v>
      </c>
      <c r="C114" s="10" t="str">
        <f t="shared" si="0"/>
        <v>default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3" x14ac:dyDescent="0.15">
      <c r="A115" s="2" t="str">
        <f>CONCATENATE($B$12, "-",$B$9,"-",CALCULATIONS!F96,"-L",$B$8)</f>
        <v>16S-A-H10-L0</v>
      </c>
      <c r="B115" s="3" t="str">
        <f>CONCATENATE($B$11,"-",CALCULATIONS!F96)</f>
        <v>platename-H10</v>
      </c>
      <c r="C115" s="10" t="str">
        <f t="shared" si="0"/>
        <v>default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3" x14ac:dyDescent="0.15">
      <c r="A116" s="2" t="str">
        <f>CONCATENATE($B$12, "-",$B$9,"-",CALCULATIONS!F97,"-L",$B$8)</f>
        <v>16S-A-H11-L0</v>
      </c>
      <c r="B116" s="3" t="str">
        <f>CONCATENATE($B$11,"-",CALCULATIONS!F97)</f>
        <v>platename-H11</v>
      </c>
      <c r="C116" s="10" t="str">
        <f t="shared" si="0"/>
        <v>default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3" x14ac:dyDescent="0.15">
      <c r="A117" s="2" t="str">
        <f>CONCATENATE($B$12, "-",$B$9,"-",CALCULATIONS!F98,"-L",$B$8)</f>
        <v>16S-A-H12-L0</v>
      </c>
      <c r="B117" s="3" t="str">
        <f>CONCATENATE($B$11,"-",CALCULATIONS!F98)</f>
        <v>platename-H12</v>
      </c>
      <c r="C117" s="10" t="str">
        <f t="shared" si="0"/>
        <v>default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3" x14ac:dyDescent="0.15">
      <c r="A118" s="2"/>
      <c r="B118" s="2"/>
      <c r="C118" s="10"/>
      <c r="F118" s="2"/>
      <c r="G118" s="2"/>
      <c r="H118" s="2"/>
      <c r="I118" s="2"/>
      <c r="J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3" x14ac:dyDescent="0.15">
      <c r="A119" s="2"/>
      <c r="B119" s="2"/>
      <c r="C119" s="10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3" x14ac:dyDescent="0.15">
      <c r="A120" s="2"/>
      <c r="B120" s="2"/>
      <c r="C120" s="10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3" x14ac:dyDescent="0.15">
      <c r="A121" s="2"/>
      <c r="B121" s="2"/>
      <c r="C121" s="10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3" x14ac:dyDescent="0.15">
      <c r="A122" s="2"/>
      <c r="B122" s="2"/>
      <c r="C122" s="10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3" x14ac:dyDescent="0.15">
      <c r="A123" s="2"/>
      <c r="B123" s="2"/>
      <c r="C123" s="10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3" x14ac:dyDescent="0.15">
      <c r="A124" s="2"/>
      <c r="B124" s="2"/>
      <c r="C124" s="1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3" x14ac:dyDescent="0.15">
      <c r="A125" s="2"/>
      <c r="B125" s="2"/>
      <c r="C125" s="1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3" x14ac:dyDescent="0.15">
      <c r="A126" s="2"/>
      <c r="B126" s="2"/>
      <c r="C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3" x14ac:dyDescent="0.15">
      <c r="A127" s="2"/>
      <c r="B127" s="2"/>
      <c r="C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3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3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ht="13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ht="13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ht="13" x14ac:dyDescent="0.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ht="13" x14ac:dyDescent="0.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ht="13" x14ac:dyDescent="0.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 spans="1:28" ht="13" x14ac:dyDescent="0.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 spans="1:28" ht="13" x14ac:dyDescent="0.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 spans="1:28" ht="13" x14ac:dyDescent="0.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</sheetData>
  <mergeCells count="2">
    <mergeCell ref="A2:D2"/>
    <mergeCell ref="A1:D1"/>
  </mergeCells>
  <conditionalFormatting sqref="B15:B17">
    <cfRule type="cellIs" dxfId="1" priority="2" operator="equal">
      <formula>"TRUE"</formula>
    </cfRule>
    <cfRule type="cellIs" dxfId="0" priority="3" operator="equal">
      <formula>"FALSE"</formula>
    </cfRule>
  </conditionalFormatting>
  <dataValidations count="3">
    <dataValidation type="list" allowBlank="1" showErrorMessage="1" sqref="B9" xr:uid="{00000000-0002-0000-0100-000000000000}">
      <formula1>"A,B,C,D"</formula1>
    </dataValidation>
    <dataValidation type="list" allowBlank="1" showErrorMessage="1" sqref="B8" xr:uid="{00000000-0002-0000-0100-000001000000}">
      <formula1>"0,1,2,3,4,5,6,7"</formula1>
    </dataValidation>
    <dataValidation type="list" allowBlank="1" showErrorMessage="1" sqref="B7" xr:uid="{00000000-0002-0000-0100-000002000000}">
      <formula1>"A01 B01 C01..., A01 A02 A03..."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0E43-B874-43E6-B9D1-EA035C024EA5}">
  <sheetPr>
    <outlinePr summaryBelow="0" summaryRight="0"/>
  </sheetPr>
  <dimension ref="A1:AB1002"/>
  <sheetViews>
    <sheetView zoomScale="120" zoomScaleNormal="120" workbookViewId="0">
      <selection activeCell="C13" sqref="C13"/>
    </sheetView>
  </sheetViews>
  <sheetFormatPr baseColWidth="10" defaultColWidth="12.6640625" defaultRowHeight="15.75" customHeight="1" x14ac:dyDescent="0.15"/>
  <sheetData>
    <row r="1" spans="1:28" ht="15.75" customHeight="1" x14ac:dyDescent="0.2">
      <c r="A1" s="15" t="s">
        <v>204</v>
      </c>
      <c r="B1" s="14"/>
      <c r="C1" s="14"/>
      <c r="D1" s="1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 x14ac:dyDescent="0.15">
      <c r="A2" s="13" t="s">
        <v>5</v>
      </c>
      <c r="B2" s="14"/>
      <c r="C2" s="14"/>
      <c r="D2" s="1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3" x14ac:dyDescent="0.15">
      <c r="A3" s="2" t="s">
        <v>205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3" x14ac:dyDescent="0.15">
      <c r="A4" s="2" t="s">
        <v>203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3" x14ac:dyDescent="0.15">
      <c r="A5" s="2" t="s">
        <v>211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 x14ac:dyDescent="0.15">
      <c r="A6" s="2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x14ac:dyDescent="0.15">
      <c r="A7" s="4" t="s">
        <v>8</v>
      </c>
      <c r="B7" s="5" t="s">
        <v>209</v>
      </c>
      <c r="C7" s="2" t="s">
        <v>198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8" ht="15.75" customHeight="1" x14ac:dyDescent="0.15">
      <c r="A8" s="4" t="s">
        <v>11</v>
      </c>
      <c r="B8" s="5" t="s">
        <v>12</v>
      </c>
      <c r="C8" s="2" t="s">
        <v>13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8" ht="15.75" customHeight="1" x14ac:dyDescent="0.15">
      <c r="A9" s="4" t="s">
        <v>197</v>
      </c>
      <c r="B9" s="6" t="s">
        <v>194</v>
      </c>
      <c r="C9" s="2" t="s">
        <v>193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3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x14ac:dyDescent="0.15">
      <c r="A11" s="1" t="s">
        <v>201</v>
      </c>
      <c r="B11" s="2"/>
      <c r="C11" s="2"/>
      <c r="D11" s="2"/>
      <c r="E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x14ac:dyDescent="0.15">
      <c r="A12" s="1" t="s">
        <v>202</v>
      </c>
      <c r="B12" s="2"/>
      <c r="C12" s="2"/>
      <c r="D12" s="2"/>
      <c r="E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 x14ac:dyDescent="0.15">
      <c r="A13" s="1" t="s">
        <v>0</v>
      </c>
      <c r="B13" s="1" t="s">
        <v>195</v>
      </c>
      <c r="C13" s="1" t="s">
        <v>196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3" x14ac:dyDescent="0.15">
      <c r="A14" s="2" t="str">
        <f>CONCATENATE($B$9, "-",$B$8,"-",CALCULATIONS!G3)</f>
        <v>16S-A-A01</v>
      </c>
      <c r="B14" s="11"/>
      <c r="C14" s="1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3" x14ac:dyDescent="0.15">
      <c r="A15" s="2" t="str">
        <f>CONCATENATE($B$9, "-",$B$8,"-",CALCULATIONS!G4)</f>
        <v>16S-A-A02</v>
      </c>
      <c r="B15" s="11"/>
      <c r="C15" s="1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3" x14ac:dyDescent="0.15">
      <c r="A16" s="2" t="str">
        <f>CONCATENATE($B$9, "-",$B$8,"-",CALCULATIONS!G5)</f>
        <v>16S-A-A03</v>
      </c>
      <c r="B16" s="11"/>
      <c r="C16" s="1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3" x14ac:dyDescent="0.15">
      <c r="A17" s="2" t="str">
        <f>CONCATENATE($B$9, "-",$B$8,"-",CALCULATIONS!G6)</f>
        <v>16S-A-A04</v>
      </c>
      <c r="B17" s="11"/>
      <c r="C17" s="1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3" x14ac:dyDescent="0.15">
      <c r="A18" s="2" t="str">
        <f>CONCATENATE($B$9, "-",$B$8,"-",CALCULATIONS!G7)</f>
        <v>16S-A-A05</v>
      </c>
      <c r="B18" s="11"/>
      <c r="C18" s="1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3" x14ac:dyDescent="0.15">
      <c r="A19" s="2" t="str">
        <f>CONCATENATE($B$9, "-",$B$8,"-",CALCULATIONS!G8)</f>
        <v>16S-A-A06</v>
      </c>
      <c r="B19" s="11"/>
      <c r="C19" s="1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3" x14ac:dyDescent="0.15">
      <c r="A20" s="2" t="str">
        <f>CONCATENATE($B$9, "-",$B$8,"-",CALCULATIONS!G9)</f>
        <v>16S-A-A07</v>
      </c>
      <c r="B20" s="11"/>
      <c r="C20" s="1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3" x14ac:dyDescent="0.15">
      <c r="A21" s="2" t="str">
        <f>CONCATENATE($B$9, "-",$B$8,"-",CALCULATIONS!G10)</f>
        <v>16S-A-A08</v>
      </c>
      <c r="B21" s="11"/>
      <c r="C21" s="1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3" x14ac:dyDescent="0.15">
      <c r="A22" s="2" t="str">
        <f>CONCATENATE($B$9, "-",$B$8,"-",CALCULATIONS!G11)</f>
        <v>16S-A-A09</v>
      </c>
      <c r="B22" s="11"/>
      <c r="C22" s="1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3" x14ac:dyDescent="0.15">
      <c r="A23" s="2" t="str">
        <f>CONCATENATE($B$9, "-",$B$8,"-",CALCULATIONS!G12)</f>
        <v>16S-A-A10</v>
      </c>
      <c r="B23" s="11"/>
      <c r="C23" s="1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3" x14ac:dyDescent="0.15">
      <c r="A24" s="2" t="str">
        <f>CONCATENATE($B$9, "-",$B$8,"-",CALCULATIONS!G13)</f>
        <v>16S-A-A11</v>
      </c>
      <c r="B24" s="11"/>
      <c r="C24" s="1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3" x14ac:dyDescent="0.15">
      <c r="A25" s="2" t="str">
        <f>CONCATENATE($B$9, "-",$B$8,"-",CALCULATIONS!G14)</f>
        <v>16S-A-A12</v>
      </c>
      <c r="B25" s="11"/>
      <c r="C25" s="1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3" x14ac:dyDescent="0.15">
      <c r="A26" s="2" t="str">
        <f>CONCATENATE($B$9, "-",$B$8,"-",CALCULATIONS!G15)</f>
        <v>16S-A-B01</v>
      </c>
      <c r="B26" s="11"/>
      <c r="C26" s="1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3" x14ac:dyDescent="0.15">
      <c r="A27" s="2" t="str">
        <f>CONCATENATE($B$9, "-",$B$8,"-",CALCULATIONS!G16)</f>
        <v>16S-A-B02</v>
      </c>
      <c r="B27" s="11"/>
      <c r="C27" s="1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3" x14ac:dyDescent="0.15">
      <c r="A28" s="2" t="str">
        <f>CONCATENATE($B$9, "-",$B$8,"-",CALCULATIONS!G17)</f>
        <v>16S-A-B03</v>
      </c>
      <c r="B28" s="11"/>
      <c r="C28" s="1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3" x14ac:dyDescent="0.15">
      <c r="A29" s="2" t="str">
        <f>CONCATENATE($B$9, "-",$B$8,"-",CALCULATIONS!G18)</f>
        <v>16S-A-B04</v>
      </c>
      <c r="B29" s="11"/>
      <c r="C29" s="1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3" x14ac:dyDescent="0.15">
      <c r="A30" s="2" t="str">
        <f>CONCATENATE($B$9, "-",$B$8,"-",CALCULATIONS!G19)</f>
        <v>16S-A-B05</v>
      </c>
      <c r="B30" s="11"/>
      <c r="C30" s="1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3" x14ac:dyDescent="0.15">
      <c r="A31" s="2" t="str">
        <f>CONCATENATE($B$9, "-",$B$8,"-",CALCULATIONS!G20)</f>
        <v>16S-A-B06</v>
      </c>
      <c r="B31" s="11"/>
      <c r="C31" s="1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3" x14ac:dyDescent="0.15">
      <c r="A32" s="2" t="str">
        <f>CONCATENATE($B$9, "-",$B$8,"-",CALCULATIONS!G21)</f>
        <v>16S-A-B07</v>
      </c>
      <c r="B32" s="11"/>
      <c r="C32" s="1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3" x14ac:dyDescent="0.15">
      <c r="A33" s="2" t="str">
        <f>CONCATENATE($B$9, "-",$B$8,"-",CALCULATIONS!G22)</f>
        <v>16S-A-B08</v>
      </c>
      <c r="B33" s="11"/>
      <c r="C33" s="1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3" x14ac:dyDescent="0.15">
      <c r="A34" s="2" t="str">
        <f>CONCATENATE($B$9, "-",$B$8,"-",CALCULATIONS!G23)</f>
        <v>16S-A-B09</v>
      </c>
      <c r="B34" s="11"/>
      <c r="C34" s="1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3" x14ac:dyDescent="0.15">
      <c r="A35" s="2" t="str">
        <f>CONCATENATE($B$9, "-",$B$8,"-",CALCULATIONS!G24)</f>
        <v>16S-A-B10</v>
      </c>
      <c r="B35" s="11"/>
      <c r="C35" s="1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3" x14ac:dyDescent="0.15">
      <c r="A36" s="2" t="str">
        <f>CONCATENATE($B$9, "-",$B$8,"-",CALCULATIONS!G25)</f>
        <v>16S-A-B11</v>
      </c>
      <c r="B36" s="11"/>
      <c r="C36" s="1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3" x14ac:dyDescent="0.15">
      <c r="A37" s="2" t="str">
        <f>CONCATENATE($B$9, "-",$B$8,"-",CALCULATIONS!G26)</f>
        <v>16S-A-B12</v>
      </c>
      <c r="B37" s="11"/>
      <c r="C37" s="1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3" x14ac:dyDescent="0.15">
      <c r="A38" s="2" t="str">
        <f>CONCATENATE($B$9, "-",$B$8,"-",CALCULATIONS!G27)</f>
        <v>16S-A-C01</v>
      </c>
      <c r="B38" s="11"/>
      <c r="C38" s="1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3" x14ac:dyDescent="0.15">
      <c r="A39" s="2" t="str">
        <f>CONCATENATE($B$9, "-",$B$8,"-",CALCULATIONS!G28)</f>
        <v>16S-A-C02</v>
      </c>
      <c r="B39" s="11"/>
      <c r="C39" s="1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3" x14ac:dyDescent="0.15">
      <c r="A40" s="2" t="str">
        <f>CONCATENATE($B$9, "-",$B$8,"-",CALCULATIONS!G29)</f>
        <v>16S-A-C03</v>
      </c>
      <c r="B40" s="11"/>
      <c r="C40" s="1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3" x14ac:dyDescent="0.15">
      <c r="A41" s="2" t="str">
        <f>CONCATENATE($B$9, "-",$B$8,"-",CALCULATIONS!G30)</f>
        <v>16S-A-C04</v>
      </c>
      <c r="B41" s="11"/>
      <c r="C41" s="1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3" x14ac:dyDescent="0.15">
      <c r="A42" s="2" t="str">
        <f>CONCATENATE($B$9, "-",$B$8,"-",CALCULATIONS!G31)</f>
        <v>16S-A-C05</v>
      </c>
      <c r="B42" s="11"/>
      <c r="C42" s="1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3" x14ac:dyDescent="0.15">
      <c r="A43" s="2" t="str">
        <f>CONCATENATE($B$9, "-",$B$8,"-",CALCULATIONS!G32)</f>
        <v>16S-A-C06</v>
      </c>
      <c r="B43" s="11"/>
      <c r="C43" s="1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3" x14ac:dyDescent="0.15">
      <c r="A44" s="2" t="str">
        <f>CONCATENATE($B$9, "-",$B$8,"-",CALCULATIONS!G33)</f>
        <v>16S-A-C07</v>
      </c>
      <c r="B44" s="11"/>
      <c r="C44" s="1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3" x14ac:dyDescent="0.15">
      <c r="A45" s="2" t="str">
        <f>CONCATENATE($B$9, "-",$B$8,"-",CALCULATIONS!G34)</f>
        <v>16S-A-C08</v>
      </c>
      <c r="B45" s="11"/>
      <c r="C45" s="1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3" x14ac:dyDescent="0.15">
      <c r="A46" s="2" t="str">
        <f>CONCATENATE($B$9, "-",$B$8,"-",CALCULATIONS!G35)</f>
        <v>16S-A-C09</v>
      </c>
      <c r="B46" s="11"/>
      <c r="C46" s="1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3" x14ac:dyDescent="0.15">
      <c r="A47" s="2" t="str">
        <f>CONCATENATE($B$9, "-",$B$8,"-",CALCULATIONS!G36)</f>
        <v>16S-A-C10</v>
      </c>
      <c r="B47" s="11"/>
      <c r="C47" s="1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3" x14ac:dyDescent="0.15">
      <c r="A48" s="2" t="str">
        <f>CONCATENATE($B$9, "-",$B$8,"-",CALCULATIONS!G37)</f>
        <v>16S-A-C11</v>
      </c>
      <c r="B48" s="11"/>
      <c r="C48" s="1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3" x14ac:dyDescent="0.15">
      <c r="A49" s="2" t="str">
        <f>CONCATENATE($B$9, "-",$B$8,"-",CALCULATIONS!G38)</f>
        <v>16S-A-C12</v>
      </c>
      <c r="B49" s="11"/>
      <c r="C49" s="1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3" x14ac:dyDescent="0.15">
      <c r="A50" s="2" t="str">
        <f>CONCATENATE($B$9, "-",$B$8,"-",CALCULATIONS!G39)</f>
        <v>16S-A-D01</v>
      </c>
      <c r="B50" s="11"/>
      <c r="C50" s="1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3" x14ac:dyDescent="0.15">
      <c r="A51" s="2" t="str">
        <f>CONCATENATE($B$9, "-",$B$8,"-",CALCULATIONS!G40)</f>
        <v>16S-A-D02</v>
      </c>
      <c r="B51" s="11"/>
      <c r="C51" s="1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3" x14ac:dyDescent="0.15">
      <c r="A52" s="2" t="str">
        <f>CONCATENATE($B$9, "-",$B$8,"-",CALCULATIONS!G41)</f>
        <v>16S-A-D03</v>
      </c>
      <c r="B52" s="11"/>
      <c r="C52" s="1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3" x14ac:dyDescent="0.15">
      <c r="A53" s="2" t="str">
        <f>CONCATENATE($B$9, "-",$B$8,"-",CALCULATIONS!G42)</f>
        <v>16S-A-D04</v>
      </c>
      <c r="B53" s="11"/>
      <c r="C53" s="1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3" x14ac:dyDescent="0.15">
      <c r="A54" s="2" t="str">
        <f>CONCATENATE($B$9, "-",$B$8,"-",CALCULATIONS!G43)</f>
        <v>16S-A-D05</v>
      </c>
      <c r="B54" s="11"/>
      <c r="C54" s="1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3" x14ac:dyDescent="0.15">
      <c r="A55" s="2" t="str">
        <f>CONCATENATE($B$9, "-",$B$8,"-",CALCULATIONS!G44)</f>
        <v>16S-A-D06</v>
      </c>
      <c r="B55" s="11"/>
      <c r="C55" s="1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3" x14ac:dyDescent="0.15">
      <c r="A56" s="2" t="str">
        <f>CONCATENATE($B$9, "-",$B$8,"-",CALCULATIONS!G45)</f>
        <v>16S-A-D07</v>
      </c>
      <c r="B56" s="11"/>
      <c r="C56" s="1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3" x14ac:dyDescent="0.15">
      <c r="A57" s="2" t="str">
        <f>CONCATENATE($B$9, "-",$B$8,"-",CALCULATIONS!G46)</f>
        <v>16S-A-D08</v>
      </c>
      <c r="B57" s="11"/>
      <c r="C57" s="1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3" x14ac:dyDescent="0.15">
      <c r="A58" s="2" t="str">
        <f>CONCATENATE($B$9, "-",$B$8,"-",CALCULATIONS!G47)</f>
        <v>16S-A-D09</v>
      </c>
      <c r="B58" s="11"/>
      <c r="C58" s="1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3" x14ac:dyDescent="0.15">
      <c r="A59" s="2" t="str">
        <f>CONCATENATE($B$9, "-",$B$8,"-",CALCULATIONS!G48)</f>
        <v>16S-A-D10</v>
      </c>
      <c r="B59" s="11"/>
      <c r="C59" s="1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3" x14ac:dyDescent="0.15">
      <c r="A60" s="2" t="str">
        <f>CONCATENATE($B$9, "-",$B$8,"-",CALCULATIONS!G49)</f>
        <v>16S-A-D11</v>
      </c>
      <c r="B60" s="11"/>
      <c r="C60" s="1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3" x14ac:dyDescent="0.15">
      <c r="A61" s="2" t="str">
        <f>CONCATENATE($B$9, "-",$B$8,"-",CALCULATIONS!G50)</f>
        <v>16S-A-D12</v>
      </c>
      <c r="B61" s="11"/>
      <c r="C61" s="1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3" x14ac:dyDescent="0.15">
      <c r="A62" s="2" t="str">
        <f>CONCATENATE($B$9, "-",$B$8,"-",CALCULATIONS!G51)</f>
        <v>16S-A-E01</v>
      </c>
      <c r="B62" s="11"/>
      <c r="C62" s="1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3" x14ac:dyDescent="0.15">
      <c r="A63" s="2" t="str">
        <f>CONCATENATE($B$9, "-",$B$8,"-",CALCULATIONS!G52)</f>
        <v>16S-A-E02</v>
      </c>
      <c r="B63" s="11"/>
      <c r="C63" s="1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3" x14ac:dyDescent="0.15">
      <c r="A64" s="2" t="str">
        <f>CONCATENATE($B$9, "-",$B$8,"-",CALCULATIONS!G53)</f>
        <v>16S-A-E03</v>
      </c>
      <c r="B64" s="11"/>
      <c r="C64" s="1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3" x14ac:dyDescent="0.15">
      <c r="A65" s="2" t="str">
        <f>CONCATENATE($B$9, "-",$B$8,"-",CALCULATIONS!G54)</f>
        <v>16S-A-E04</v>
      </c>
      <c r="B65" s="11"/>
      <c r="C65" s="1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3" x14ac:dyDescent="0.15">
      <c r="A66" s="2" t="str">
        <f>CONCATENATE($B$9, "-",$B$8,"-",CALCULATIONS!G55)</f>
        <v>16S-A-E05</v>
      </c>
      <c r="B66" s="11"/>
      <c r="C66" s="1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3" x14ac:dyDescent="0.15">
      <c r="A67" s="2" t="str">
        <f>CONCATENATE($B$9, "-",$B$8,"-",CALCULATIONS!G56)</f>
        <v>16S-A-E06</v>
      </c>
      <c r="B67" s="11"/>
      <c r="C67" s="1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3" x14ac:dyDescent="0.15">
      <c r="A68" s="2" t="str">
        <f>CONCATENATE($B$9, "-",$B$8,"-",CALCULATIONS!G57)</f>
        <v>16S-A-E07</v>
      </c>
      <c r="B68" s="11"/>
      <c r="C68" s="1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3" x14ac:dyDescent="0.15">
      <c r="A69" s="2" t="str">
        <f>CONCATENATE($B$9, "-",$B$8,"-",CALCULATIONS!G58)</f>
        <v>16S-A-E08</v>
      </c>
      <c r="B69" s="11"/>
      <c r="C69" s="1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3" x14ac:dyDescent="0.15">
      <c r="A70" s="2" t="str">
        <f>CONCATENATE($B$9, "-",$B$8,"-",CALCULATIONS!G59)</f>
        <v>16S-A-E09</v>
      </c>
      <c r="B70" s="11"/>
      <c r="C70" s="1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3" x14ac:dyDescent="0.15">
      <c r="A71" s="2" t="str">
        <f>CONCATENATE($B$9, "-",$B$8,"-",CALCULATIONS!G60)</f>
        <v>16S-A-E10</v>
      </c>
      <c r="B71" s="11"/>
      <c r="C71" s="1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3" x14ac:dyDescent="0.15">
      <c r="A72" s="2" t="str">
        <f>CONCATENATE($B$9, "-",$B$8,"-",CALCULATIONS!G61)</f>
        <v>16S-A-E11</v>
      </c>
      <c r="B72" s="11"/>
      <c r="C72" s="1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3" x14ac:dyDescent="0.15">
      <c r="A73" s="2" t="str">
        <f>CONCATENATE($B$9, "-",$B$8,"-",CALCULATIONS!G62)</f>
        <v>16S-A-E12</v>
      </c>
      <c r="B73" s="11"/>
      <c r="C73" s="1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3" x14ac:dyDescent="0.15">
      <c r="A74" s="2" t="str">
        <f>CONCATENATE($B$9, "-",$B$8,"-",CALCULATIONS!G63)</f>
        <v>16S-A-F01</v>
      </c>
      <c r="B74" s="11"/>
      <c r="C74" s="1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3" x14ac:dyDescent="0.15">
      <c r="A75" s="2" t="str">
        <f>CONCATENATE($B$9, "-",$B$8,"-",CALCULATIONS!G64)</f>
        <v>16S-A-F02</v>
      </c>
      <c r="B75" s="11"/>
      <c r="C75" s="1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3" x14ac:dyDescent="0.15">
      <c r="A76" s="2" t="str">
        <f>CONCATENATE($B$9, "-",$B$8,"-",CALCULATIONS!G65)</f>
        <v>16S-A-F03</v>
      </c>
      <c r="B76" s="11"/>
      <c r="C76" s="1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3" x14ac:dyDescent="0.15">
      <c r="A77" s="2" t="str">
        <f>CONCATENATE($B$9, "-",$B$8,"-",CALCULATIONS!G66)</f>
        <v>16S-A-F04</v>
      </c>
      <c r="B77" s="11"/>
      <c r="C77" s="1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3" x14ac:dyDescent="0.15">
      <c r="A78" s="2" t="str">
        <f>CONCATENATE($B$9, "-",$B$8,"-",CALCULATIONS!G67)</f>
        <v>16S-A-F05</v>
      </c>
      <c r="B78" s="11"/>
      <c r="C78" s="1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3" x14ac:dyDescent="0.15">
      <c r="A79" s="2" t="str">
        <f>CONCATENATE($B$9, "-",$B$8,"-",CALCULATIONS!G68)</f>
        <v>16S-A-F06</v>
      </c>
      <c r="B79" s="11"/>
      <c r="C79" s="1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3" x14ac:dyDescent="0.15">
      <c r="A80" s="2" t="str">
        <f>CONCATENATE($B$9, "-",$B$8,"-",CALCULATIONS!G69)</f>
        <v>16S-A-F07</v>
      </c>
      <c r="B80" s="11"/>
      <c r="C80" s="1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3" x14ac:dyDescent="0.15">
      <c r="A81" s="2" t="str">
        <f>CONCATENATE($B$9, "-",$B$8,"-",CALCULATIONS!G70)</f>
        <v>16S-A-F08</v>
      </c>
      <c r="B81" s="11"/>
      <c r="C81" s="1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3" x14ac:dyDescent="0.15">
      <c r="A82" s="2" t="str">
        <f>CONCATENATE($B$9, "-",$B$8,"-",CALCULATIONS!G71)</f>
        <v>16S-A-F09</v>
      </c>
      <c r="B82" s="11"/>
      <c r="C82" s="1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3" x14ac:dyDescent="0.15">
      <c r="A83" s="2" t="str">
        <f>CONCATENATE($B$9, "-",$B$8,"-",CALCULATIONS!G72)</f>
        <v>16S-A-F10</v>
      </c>
      <c r="B83" s="11"/>
      <c r="C83" s="1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3" x14ac:dyDescent="0.15">
      <c r="A84" s="2" t="str">
        <f>CONCATENATE($B$9, "-",$B$8,"-",CALCULATIONS!G73)</f>
        <v>16S-A-F11</v>
      </c>
      <c r="B84" s="11"/>
      <c r="C84" s="1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3" x14ac:dyDescent="0.15">
      <c r="A85" s="2" t="str">
        <f>CONCATENATE($B$9, "-",$B$8,"-",CALCULATIONS!G74)</f>
        <v>16S-A-F12</v>
      </c>
      <c r="B85" s="11"/>
      <c r="C85" s="1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3" x14ac:dyDescent="0.15">
      <c r="A86" s="2" t="str">
        <f>CONCATENATE($B$9, "-",$B$8,"-",CALCULATIONS!G75)</f>
        <v>16S-A-G01</v>
      </c>
      <c r="B86" s="11"/>
      <c r="C86" s="1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3" x14ac:dyDescent="0.15">
      <c r="A87" s="2" t="str">
        <f>CONCATENATE($B$9, "-",$B$8,"-",CALCULATIONS!G76)</f>
        <v>16S-A-G02</v>
      </c>
      <c r="B87" s="11"/>
      <c r="C87" s="1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3" x14ac:dyDescent="0.15">
      <c r="A88" s="2" t="str">
        <f>CONCATENATE($B$9, "-",$B$8,"-",CALCULATIONS!G77)</f>
        <v>16S-A-G03</v>
      </c>
      <c r="B88" s="11"/>
      <c r="C88" s="1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3" x14ac:dyDescent="0.15">
      <c r="A89" s="2" t="str">
        <f>CONCATENATE($B$9, "-",$B$8,"-",CALCULATIONS!G78)</f>
        <v>16S-A-G04</v>
      </c>
      <c r="B89" s="11"/>
      <c r="C89" s="1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3" x14ac:dyDescent="0.15">
      <c r="A90" s="2" t="str">
        <f>CONCATENATE($B$9, "-",$B$8,"-",CALCULATIONS!G79)</f>
        <v>16S-A-G05</v>
      </c>
      <c r="B90" s="11"/>
      <c r="C90" s="1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3" x14ac:dyDescent="0.15">
      <c r="A91" s="2" t="str">
        <f>CONCATENATE($B$9, "-",$B$8,"-",CALCULATIONS!G80)</f>
        <v>16S-A-G06</v>
      </c>
      <c r="B91" s="11"/>
      <c r="C91" s="1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3" x14ac:dyDescent="0.15">
      <c r="A92" s="2" t="str">
        <f>CONCATENATE($B$9, "-",$B$8,"-",CALCULATIONS!G81)</f>
        <v>16S-A-G07</v>
      </c>
      <c r="B92" s="11"/>
      <c r="C92" s="1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3" x14ac:dyDescent="0.15">
      <c r="A93" s="2" t="str">
        <f>CONCATENATE($B$9, "-",$B$8,"-",CALCULATIONS!G82)</f>
        <v>16S-A-G08</v>
      </c>
      <c r="B93" s="11"/>
      <c r="C93" s="1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3" x14ac:dyDescent="0.15">
      <c r="A94" s="2" t="str">
        <f>CONCATENATE($B$9, "-",$B$8,"-",CALCULATIONS!G83)</f>
        <v>16S-A-G09</v>
      </c>
      <c r="B94" s="11"/>
      <c r="C94" s="1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3" x14ac:dyDescent="0.15">
      <c r="A95" s="2" t="str">
        <f>CONCATENATE($B$9, "-",$B$8,"-",CALCULATIONS!G84)</f>
        <v>16S-A-G10</v>
      </c>
      <c r="B95" s="11"/>
      <c r="C95" s="1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3" x14ac:dyDescent="0.15">
      <c r="A96" s="2" t="str">
        <f>CONCATENATE($B$9, "-",$B$8,"-",CALCULATIONS!G85)</f>
        <v>16S-A-G11</v>
      </c>
      <c r="B96" s="11"/>
      <c r="C96" s="1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3" x14ac:dyDescent="0.15">
      <c r="A97" s="2" t="str">
        <f>CONCATENATE($B$9, "-",$B$8,"-",CALCULATIONS!G86)</f>
        <v>16S-A-G12</v>
      </c>
      <c r="B97" s="11"/>
      <c r="C97" s="1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3" x14ac:dyDescent="0.15">
      <c r="A98" s="2" t="str">
        <f>CONCATENATE($B$9, "-",$B$8,"-",CALCULATIONS!G87)</f>
        <v>16S-A-H01</v>
      </c>
      <c r="B98" s="11"/>
      <c r="C98" s="1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3" x14ac:dyDescent="0.15">
      <c r="A99" s="2" t="str">
        <f>CONCATENATE($B$9, "-",$B$8,"-",CALCULATIONS!G88)</f>
        <v>16S-A-H02</v>
      </c>
      <c r="B99" s="11"/>
      <c r="C99" s="1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3" x14ac:dyDescent="0.15">
      <c r="A100" s="2" t="str">
        <f>CONCATENATE($B$9, "-",$B$8,"-",CALCULATIONS!G89)</f>
        <v>16S-A-H03</v>
      </c>
      <c r="B100" s="11"/>
      <c r="C100" s="1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3" x14ac:dyDescent="0.15">
      <c r="A101" s="2" t="str">
        <f>CONCATENATE($B$9, "-",$B$8,"-",CALCULATIONS!G90)</f>
        <v>16S-A-H04</v>
      </c>
      <c r="B101" s="11"/>
      <c r="C101" s="1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3" x14ac:dyDescent="0.15">
      <c r="A102" s="2" t="str">
        <f>CONCATENATE($B$9, "-",$B$8,"-",CALCULATIONS!G91)</f>
        <v>16S-A-H05</v>
      </c>
      <c r="B102" s="11"/>
      <c r="C102" s="1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3" x14ac:dyDescent="0.15">
      <c r="A103" s="2" t="str">
        <f>CONCATENATE($B$9, "-",$B$8,"-",CALCULATIONS!G92)</f>
        <v>16S-A-H06</v>
      </c>
      <c r="B103" s="11"/>
      <c r="C103" s="1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3" x14ac:dyDescent="0.15">
      <c r="A104" s="2" t="str">
        <f>CONCATENATE($B$9, "-",$B$8,"-",CALCULATIONS!G93)</f>
        <v>16S-A-H07</v>
      </c>
      <c r="B104" s="11"/>
      <c r="C104" s="1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3" x14ac:dyDescent="0.15">
      <c r="A105" s="2" t="str">
        <f>CONCATENATE($B$9, "-",$B$8,"-",CALCULATIONS!G94)</f>
        <v>16S-A-H08</v>
      </c>
      <c r="B105" s="11"/>
      <c r="C105" s="1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3" x14ac:dyDescent="0.15">
      <c r="A106" s="2" t="str">
        <f>CONCATENATE($B$9, "-",$B$8,"-",CALCULATIONS!G95)</f>
        <v>16S-A-H09</v>
      </c>
      <c r="B106" s="11"/>
      <c r="C106" s="1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3" x14ac:dyDescent="0.15">
      <c r="A107" s="2" t="str">
        <f>CONCATENATE($B$9, "-",$B$8,"-",CALCULATIONS!G96)</f>
        <v>16S-A-H10</v>
      </c>
      <c r="B107" s="11"/>
      <c r="C107" s="1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3" x14ac:dyDescent="0.15">
      <c r="A108" s="2" t="str">
        <f>CONCATENATE($B$9, "-",$B$8,"-",CALCULATIONS!G97)</f>
        <v>16S-A-H11</v>
      </c>
      <c r="B108" s="11"/>
      <c r="C108" s="1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3" x14ac:dyDescent="0.15">
      <c r="A109" s="2" t="str">
        <f>CONCATENATE($B$9, "-",$B$8,"-",CALCULATIONS!G98)</f>
        <v>16S-A-H12</v>
      </c>
      <c r="B109" s="11"/>
      <c r="C109" s="1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3" x14ac:dyDescent="0.15">
      <c r="A110" s="2"/>
      <c r="B110" s="2"/>
      <c r="C110" s="10"/>
      <c r="F110" s="2"/>
      <c r="G110" s="2"/>
      <c r="H110" s="2"/>
      <c r="I110" s="2"/>
      <c r="J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3" x14ac:dyDescent="0.15">
      <c r="A111" s="2"/>
      <c r="B111" s="2"/>
      <c r="C111" s="10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3" x14ac:dyDescent="0.15">
      <c r="A112" s="2"/>
      <c r="B112" s="2"/>
      <c r="C112" s="10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3" x14ac:dyDescent="0.15">
      <c r="A113" s="2"/>
      <c r="B113" s="2"/>
      <c r="C113" s="10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3" x14ac:dyDescent="0.15">
      <c r="A114" s="2"/>
      <c r="B114" s="2"/>
      <c r="C114" s="10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3" x14ac:dyDescent="0.15">
      <c r="A115" s="2"/>
      <c r="B115" s="2"/>
      <c r="C115" s="10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3" x14ac:dyDescent="0.15">
      <c r="A116" s="2"/>
      <c r="B116" s="2"/>
      <c r="C116" s="10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3" x14ac:dyDescent="0.15">
      <c r="A117" s="2"/>
      <c r="B117" s="2"/>
      <c r="C117" s="10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3" x14ac:dyDescent="0.15">
      <c r="A118" s="2"/>
      <c r="B118" s="2"/>
      <c r="C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3" x14ac:dyDescent="0.15">
      <c r="A119" s="2"/>
      <c r="B119" s="2"/>
      <c r="C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ht="13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ht="13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</sheetData>
  <mergeCells count="2">
    <mergeCell ref="A1:D1"/>
    <mergeCell ref="A2:D2"/>
  </mergeCells>
  <dataValidations count="2">
    <dataValidation type="list" allowBlank="1" showErrorMessage="1" sqref="B7" xr:uid="{B411D68D-DC25-4EE7-B253-4D380DD45B0D}">
      <formula1>"A01 B01 C01..., A01 A02 A03..."</formula1>
    </dataValidation>
    <dataValidation type="list" allowBlank="1" showErrorMessage="1" sqref="B8" xr:uid="{E7EE765A-B0AC-466E-BCA7-E21D6007A461}">
      <formula1>"A,B,C,D"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AA48-C7AC-47D1-A8D8-3B33CC621E7B}">
  <dimension ref="A1:G98"/>
  <sheetViews>
    <sheetView workbookViewId="0"/>
  </sheetViews>
  <sheetFormatPr baseColWidth="10" defaultColWidth="8.83203125" defaultRowHeight="13" x14ac:dyDescent="0.15"/>
  <sheetData>
    <row r="1" spans="1:7" x14ac:dyDescent="0.15">
      <c r="A1" s="7" t="s">
        <v>206</v>
      </c>
    </row>
    <row r="2" spans="1:7" x14ac:dyDescent="0.15">
      <c r="A2" s="7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207</v>
      </c>
      <c r="G2" s="7" t="s">
        <v>208</v>
      </c>
    </row>
    <row r="3" spans="1:7" ht="14" x14ac:dyDescent="0.15">
      <c r="A3" s="8" t="s">
        <v>25</v>
      </c>
      <c r="B3" s="8" t="s">
        <v>26</v>
      </c>
      <c r="C3" s="8" t="s">
        <v>25</v>
      </c>
      <c r="D3" s="8" t="s">
        <v>26</v>
      </c>
      <c r="E3" s="9" t="str">
        <f>IF(samplesheetTemplate!$B$7="A01 B01 C01...", A3, IF(samplesheetTemplate!$B$7="A01 A02 A03...", C3,"NA"))</f>
        <v>A1</v>
      </c>
      <c r="F3" s="9" t="str">
        <f>IF(samplesheetTemplate!$B$7="A01 B01 C01...", B3, IF(samplesheetTemplate!$B$7="A01 A02 A03...", D3,"NA"))</f>
        <v>A01</v>
      </c>
      <c r="G3" s="9" t="str">
        <f>IF(fastqlistTemplate!$B$7="A01 B01 C01...", B3, IF(fastqlistTemplate!$B$7="A01 A02 A03...", D3,"NA"))</f>
        <v>A01</v>
      </c>
    </row>
    <row r="4" spans="1:7" ht="14" x14ac:dyDescent="0.15">
      <c r="A4" s="8" t="s">
        <v>27</v>
      </c>
      <c r="B4" s="8" t="s">
        <v>28</v>
      </c>
      <c r="C4" s="8" t="s">
        <v>29</v>
      </c>
      <c r="D4" s="8" t="s">
        <v>30</v>
      </c>
      <c r="E4" s="9" t="str">
        <f>IF(samplesheetTemplate!$B$7="A01 B01 C01...", A4, IF(samplesheetTemplate!$B$7="A01 A02 A03...", C4,"NA"))</f>
        <v>A2</v>
      </c>
      <c r="F4" s="9" t="str">
        <f>IF(samplesheetTemplate!$B$7="A01 B01 C01...", B4, IF(samplesheetTemplate!$B$7="A01 A02 A03...", D4,"NA"))</f>
        <v>A02</v>
      </c>
      <c r="G4" s="9" t="str">
        <f>IF(fastqlistTemplate!$B$7="A01 B01 C01...", B4, IF(fastqlistTemplate!$B$7="A01 A02 A03...", D4,"NA"))</f>
        <v>A02</v>
      </c>
    </row>
    <row r="5" spans="1:7" ht="14" x14ac:dyDescent="0.15">
      <c r="A5" s="8" t="s">
        <v>31</v>
      </c>
      <c r="B5" s="8" t="s">
        <v>32</v>
      </c>
      <c r="C5" s="8" t="s">
        <v>33</v>
      </c>
      <c r="D5" s="8" t="s">
        <v>34</v>
      </c>
      <c r="E5" s="9" t="str">
        <f>IF(samplesheetTemplate!$B$7="A01 B01 C01...", A5, IF(samplesheetTemplate!$B$7="A01 A02 A03...", C5,"NA"))</f>
        <v>A3</v>
      </c>
      <c r="F5" s="9" t="str">
        <f>IF(samplesheetTemplate!$B$7="A01 B01 C01...", B5, IF(samplesheetTemplate!$B$7="A01 A02 A03...", D5,"NA"))</f>
        <v>A03</v>
      </c>
      <c r="G5" s="9" t="str">
        <f>IF(fastqlistTemplate!$B$7="A01 B01 C01...", B5, IF(fastqlistTemplate!$B$7="A01 A02 A03...", D5,"NA"))</f>
        <v>A03</v>
      </c>
    </row>
    <row r="6" spans="1:7" ht="14" x14ac:dyDescent="0.15">
      <c r="A6" s="8" t="s">
        <v>35</v>
      </c>
      <c r="B6" s="8" t="s">
        <v>36</v>
      </c>
      <c r="C6" s="8" t="s">
        <v>37</v>
      </c>
      <c r="D6" s="8" t="s">
        <v>38</v>
      </c>
      <c r="E6" s="9" t="str">
        <f>IF(samplesheetTemplate!$B$7="A01 B01 C01...", A6, IF(samplesheetTemplate!$B$7="A01 A02 A03...", C6,"NA"))</f>
        <v>A4</v>
      </c>
      <c r="F6" s="9" t="str">
        <f>IF(samplesheetTemplate!$B$7="A01 B01 C01...", B6, IF(samplesheetTemplate!$B$7="A01 A02 A03...", D6,"NA"))</f>
        <v>A04</v>
      </c>
      <c r="G6" s="9" t="str">
        <f>IF(fastqlistTemplate!$B$7="A01 B01 C01...", B6, IF(fastqlistTemplate!$B$7="A01 A02 A03...", D6,"NA"))</f>
        <v>A04</v>
      </c>
    </row>
    <row r="7" spans="1:7" ht="14" x14ac:dyDescent="0.15">
      <c r="A7" s="8" t="s">
        <v>39</v>
      </c>
      <c r="B7" s="8" t="s">
        <v>40</v>
      </c>
      <c r="C7" s="8" t="s">
        <v>41</v>
      </c>
      <c r="D7" s="8" t="s">
        <v>42</v>
      </c>
      <c r="E7" s="9" t="str">
        <f>IF(samplesheetTemplate!$B$7="A01 B01 C01...", A7, IF(samplesheetTemplate!$B$7="A01 A02 A03...", C7,"NA"))</f>
        <v>A5</v>
      </c>
      <c r="F7" s="9" t="str">
        <f>IF(samplesheetTemplate!$B$7="A01 B01 C01...", B7, IF(samplesheetTemplate!$B$7="A01 A02 A03...", D7,"NA"))</f>
        <v>A05</v>
      </c>
      <c r="G7" s="9" t="str">
        <f>IF(fastqlistTemplate!$B$7="A01 B01 C01...", B7, IF(fastqlistTemplate!$B$7="A01 A02 A03...", D7,"NA"))</f>
        <v>A05</v>
      </c>
    </row>
    <row r="8" spans="1:7" ht="14" x14ac:dyDescent="0.15">
      <c r="A8" s="8" t="s">
        <v>43</v>
      </c>
      <c r="B8" s="8" t="s">
        <v>44</v>
      </c>
      <c r="C8" s="8" t="s">
        <v>45</v>
      </c>
      <c r="D8" s="8" t="s">
        <v>46</v>
      </c>
      <c r="E8" s="9" t="str">
        <f>IF(samplesheetTemplate!$B$7="A01 B01 C01...", A8, IF(samplesheetTemplate!$B$7="A01 A02 A03...", C8,"NA"))</f>
        <v>A6</v>
      </c>
      <c r="F8" s="9" t="str">
        <f>IF(samplesheetTemplate!$B$7="A01 B01 C01...", B8, IF(samplesheetTemplate!$B$7="A01 A02 A03...", D8,"NA"))</f>
        <v>A06</v>
      </c>
      <c r="G8" s="9" t="str">
        <f>IF(fastqlistTemplate!$B$7="A01 B01 C01...", B8, IF(fastqlistTemplate!$B$7="A01 A02 A03...", D8,"NA"))</f>
        <v>A06</v>
      </c>
    </row>
    <row r="9" spans="1:7" ht="14" x14ac:dyDescent="0.15">
      <c r="A9" s="8" t="s">
        <v>47</v>
      </c>
      <c r="B9" s="8" t="s">
        <v>48</v>
      </c>
      <c r="C9" s="8" t="s">
        <v>49</v>
      </c>
      <c r="D9" s="8" t="s">
        <v>50</v>
      </c>
      <c r="E9" s="9" t="str">
        <f>IF(samplesheetTemplate!$B$7="A01 B01 C01...", A9, IF(samplesheetTemplate!$B$7="A01 A02 A03...", C9,"NA"))</f>
        <v>A7</v>
      </c>
      <c r="F9" s="9" t="str">
        <f>IF(samplesheetTemplate!$B$7="A01 B01 C01...", B9, IF(samplesheetTemplate!$B$7="A01 A02 A03...", D9,"NA"))</f>
        <v>A07</v>
      </c>
      <c r="G9" s="9" t="str">
        <f>IF(fastqlistTemplate!$B$7="A01 B01 C01...", B9, IF(fastqlistTemplate!$B$7="A01 A02 A03...", D9,"NA"))</f>
        <v>A07</v>
      </c>
    </row>
    <row r="10" spans="1:7" ht="14" x14ac:dyDescent="0.15">
      <c r="A10" s="8" t="s">
        <v>51</v>
      </c>
      <c r="B10" s="8" t="s">
        <v>52</v>
      </c>
      <c r="C10" s="8" t="s">
        <v>53</v>
      </c>
      <c r="D10" s="8" t="s">
        <v>54</v>
      </c>
      <c r="E10" s="9" t="str">
        <f>IF(samplesheetTemplate!$B$7="A01 B01 C01...", A10, IF(samplesheetTemplate!$B$7="A01 A02 A03...", C10,"NA"))</f>
        <v>A8</v>
      </c>
      <c r="F10" s="9" t="str">
        <f>IF(samplesheetTemplate!$B$7="A01 B01 C01...", B10, IF(samplesheetTemplate!$B$7="A01 A02 A03...", D10,"NA"))</f>
        <v>A08</v>
      </c>
      <c r="G10" s="9" t="str">
        <f>IF(fastqlistTemplate!$B$7="A01 B01 C01...", B10, IF(fastqlistTemplate!$B$7="A01 A02 A03...", D10,"NA"))</f>
        <v>A08</v>
      </c>
    </row>
    <row r="11" spans="1:7" ht="14" x14ac:dyDescent="0.15">
      <c r="A11" s="8" t="s">
        <v>29</v>
      </c>
      <c r="B11" s="8" t="s">
        <v>30</v>
      </c>
      <c r="C11" s="8" t="s">
        <v>55</v>
      </c>
      <c r="D11" s="8" t="s">
        <v>56</v>
      </c>
      <c r="E11" s="9" t="str">
        <f>IF(samplesheetTemplate!$B$7="A01 B01 C01...", A11, IF(samplesheetTemplate!$B$7="A01 A02 A03...", C11,"NA"))</f>
        <v>A9</v>
      </c>
      <c r="F11" s="9" t="str">
        <f>IF(samplesheetTemplate!$B$7="A01 B01 C01...", B11, IF(samplesheetTemplate!$B$7="A01 A02 A03...", D11,"NA"))</f>
        <v>A09</v>
      </c>
      <c r="G11" s="9" t="str">
        <f>IF(fastqlistTemplate!$B$7="A01 B01 C01...", B11, IF(fastqlistTemplate!$B$7="A01 A02 A03...", D11,"NA"))</f>
        <v>A09</v>
      </c>
    </row>
    <row r="12" spans="1:7" ht="14" x14ac:dyDescent="0.15">
      <c r="A12" s="8" t="s">
        <v>57</v>
      </c>
      <c r="B12" s="8" t="s">
        <v>58</v>
      </c>
      <c r="C12" s="8" t="s">
        <v>59</v>
      </c>
      <c r="D12" s="8" t="s">
        <v>59</v>
      </c>
      <c r="E12" s="9" t="str">
        <f>IF(samplesheetTemplate!$B$7="A01 B01 C01...", A12, IF(samplesheetTemplate!$B$7="A01 A02 A03...", C12,"NA"))</f>
        <v>A10</v>
      </c>
      <c r="F12" s="9" t="str">
        <f>IF(samplesheetTemplate!$B$7="A01 B01 C01...", B12, IF(samplesheetTemplate!$B$7="A01 A02 A03...", D12,"NA"))</f>
        <v>A10</v>
      </c>
      <c r="G12" s="9" t="str">
        <f>IF(fastqlistTemplate!$B$7="A01 B01 C01...", B12, IF(fastqlistTemplate!$B$7="A01 A02 A03...", D12,"NA"))</f>
        <v>A10</v>
      </c>
    </row>
    <row r="13" spans="1:7" ht="14" x14ac:dyDescent="0.15">
      <c r="A13" s="8" t="s">
        <v>60</v>
      </c>
      <c r="B13" s="8" t="s">
        <v>61</v>
      </c>
      <c r="C13" s="8" t="s">
        <v>62</v>
      </c>
      <c r="D13" s="8" t="s">
        <v>62</v>
      </c>
      <c r="E13" s="9" t="str">
        <f>IF(samplesheetTemplate!$B$7="A01 B01 C01...", A13, IF(samplesheetTemplate!$B$7="A01 A02 A03...", C13,"NA"))</f>
        <v>A11</v>
      </c>
      <c r="F13" s="9" t="str">
        <f>IF(samplesheetTemplate!$B$7="A01 B01 C01...", B13, IF(samplesheetTemplate!$B$7="A01 A02 A03...", D13,"NA"))</f>
        <v>A11</v>
      </c>
      <c r="G13" s="9" t="str">
        <f>IF(fastqlistTemplate!$B$7="A01 B01 C01...", B13, IF(fastqlistTemplate!$B$7="A01 A02 A03...", D13,"NA"))</f>
        <v>A11</v>
      </c>
    </row>
    <row r="14" spans="1:7" ht="14" x14ac:dyDescent="0.15">
      <c r="A14" s="8" t="s">
        <v>63</v>
      </c>
      <c r="B14" s="8" t="s">
        <v>64</v>
      </c>
      <c r="C14" s="8" t="s">
        <v>65</v>
      </c>
      <c r="D14" s="8" t="s">
        <v>65</v>
      </c>
      <c r="E14" s="9" t="str">
        <f>IF(samplesheetTemplate!$B$7="A01 B01 C01...", A14, IF(samplesheetTemplate!$B$7="A01 A02 A03...", C14,"NA"))</f>
        <v>A12</v>
      </c>
      <c r="F14" s="9" t="str">
        <f>IF(samplesheetTemplate!$B$7="A01 B01 C01...", B14, IF(samplesheetTemplate!$B$7="A01 A02 A03...", D14,"NA"))</f>
        <v>A12</v>
      </c>
      <c r="G14" s="9" t="str">
        <f>IF(fastqlistTemplate!$B$7="A01 B01 C01...", B14, IF(fastqlistTemplate!$B$7="A01 A02 A03...", D14,"NA"))</f>
        <v>A12</v>
      </c>
    </row>
    <row r="15" spans="1:7" ht="14" x14ac:dyDescent="0.15">
      <c r="A15" s="8" t="s">
        <v>66</v>
      </c>
      <c r="B15" s="8" t="s">
        <v>67</v>
      </c>
      <c r="C15" s="8" t="s">
        <v>27</v>
      </c>
      <c r="D15" s="8" t="s">
        <v>28</v>
      </c>
      <c r="E15" s="9" t="str">
        <f>IF(samplesheetTemplate!$B$7="A01 B01 C01...", A15, IF(samplesheetTemplate!$B$7="A01 A02 A03...", C15,"NA"))</f>
        <v>B1</v>
      </c>
      <c r="F15" s="9" t="str">
        <f>IF(samplesheetTemplate!$B$7="A01 B01 C01...", B15, IF(samplesheetTemplate!$B$7="A01 A02 A03...", D15,"NA"))</f>
        <v>B01</v>
      </c>
      <c r="G15" s="9" t="str">
        <f>IF(fastqlistTemplate!$B$7="A01 B01 C01...", B15, IF(fastqlistTemplate!$B$7="A01 A02 A03...", D15,"NA"))</f>
        <v>B01</v>
      </c>
    </row>
    <row r="16" spans="1:7" ht="14" x14ac:dyDescent="0.15">
      <c r="A16" s="8" t="s">
        <v>68</v>
      </c>
      <c r="B16" s="8" t="s">
        <v>69</v>
      </c>
      <c r="C16" s="8" t="s">
        <v>57</v>
      </c>
      <c r="D16" s="8" t="s">
        <v>58</v>
      </c>
      <c r="E16" s="9" t="str">
        <f>IF(samplesheetTemplate!$B$7="A01 B01 C01...", A16, IF(samplesheetTemplate!$B$7="A01 A02 A03...", C16,"NA"))</f>
        <v>B2</v>
      </c>
      <c r="F16" s="9" t="str">
        <f>IF(samplesheetTemplate!$B$7="A01 B01 C01...", B16, IF(samplesheetTemplate!$B$7="A01 A02 A03...", D16,"NA"))</f>
        <v>B02</v>
      </c>
      <c r="G16" s="9" t="str">
        <f>IF(fastqlistTemplate!$B$7="A01 B01 C01...", B16, IF(fastqlistTemplate!$B$7="A01 A02 A03...", D16,"NA"))</f>
        <v>B02</v>
      </c>
    </row>
    <row r="17" spans="1:7" ht="14" x14ac:dyDescent="0.15">
      <c r="A17" s="8" t="s">
        <v>70</v>
      </c>
      <c r="B17" s="8" t="s">
        <v>71</v>
      </c>
      <c r="C17" s="8" t="s">
        <v>72</v>
      </c>
      <c r="D17" s="8" t="s">
        <v>73</v>
      </c>
      <c r="E17" s="9" t="str">
        <f>IF(samplesheetTemplate!$B$7="A01 B01 C01...", A17, IF(samplesheetTemplate!$B$7="A01 A02 A03...", C17,"NA"))</f>
        <v>B3</v>
      </c>
      <c r="F17" s="9" t="str">
        <f>IF(samplesheetTemplate!$B$7="A01 B01 C01...", B17, IF(samplesheetTemplate!$B$7="A01 A02 A03...", D17,"NA"))</f>
        <v>B03</v>
      </c>
      <c r="G17" s="9" t="str">
        <f>IF(fastqlistTemplate!$B$7="A01 B01 C01...", B17, IF(fastqlistTemplate!$B$7="A01 A02 A03...", D17,"NA"))</f>
        <v>B03</v>
      </c>
    </row>
    <row r="18" spans="1:7" ht="14" x14ac:dyDescent="0.15">
      <c r="A18" s="8" t="s">
        <v>74</v>
      </c>
      <c r="B18" s="8" t="s">
        <v>75</v>
      </c>
      <c r="C18" s="8" t="s">
        <v>76</v>
      </c>
      <c r="D18" s="8" t="s">
        <v>77</v>
      </c>
      <c r="E18" s="9" t="str">
        <f>IF(samplesheetTemplate!$B$7="A01 B01 C01...", A18, IF(samplesheetTemplate!$B$7="A01 A02 A03...", C18,"NA"))</f>
        <v>B4</v>
      </c>
      <c r="F18" s="9" t="str">
        <f>IF(samplesheetTemplate!$B$7="A01 B01 C01...", B18, IF(samplesheetTemplate!$B$7="A01 A02 A03...", D18,"NA"))</f>
        <v>B04</v>
      </c>
      <c r="G18" s="9" t="str">
        <f>IF(fastqlistTemplate!$B$7="A01 B01 C01...", B18, IF(fastqlistTemplate!$B$7="A01 A02 A03...", D18,"NA"))</f>
        <v>B04</v>
      </c>
    </row>
    <row r="19" spans="1:7" ht="14" x14ac:dyDescent="0.15">
      <c r="A19" s="8" t="s">
        <v>33</v>
      </c>
      <c r="B19" s="8" t="s">
        <v>34</v>
      </c>
      <c r="C19" s="8" t="s">
        <v>78</v>
      </c>
      <c r="D19" s="8" t="s">
        <v>79</v>
      </c>
      <c r="E19" s="9" t="str">
        <f>IF(samplesheetTemplate!$B$7="A01 B01 C01...", A19, IF(samplesheetTemplate!$B$7="A01 A02 A03...", C19,"NA"))</f>
        <v>B5</v>
      </c>
      <c r="F19" s="9" t="str">
        <f>IF(samplesheetTemplate!$B$7="A01 B01 C01...", B19, IF(samplesheetTemplate!$B$7="A01 A02 A03...", D19,"NA"))</f>
        <v>B05</v>
      </c>
      <c r="G19" s="9" t="str">
        <f>IF(fastqlistTemplate!$B$7="A01 B01 C01...", B19, IF(fastqlistTemplate!$B$7="A01 A02 A03...", D19,"NA"))</f>
        <v>B05</v>
      </c>
    </row>
    <row r="20" spans="1:7" ht="14" x14ac:dyDescent="0.15">
      <c r="A20" s="8" t="s">
        <v>72</v>
      </c>
      <c r="B20" s="8" t="s">
        <v>73</v>
      </c>
      <c r="C20" s="8" t="s">
        <v>80</v>
      </c>
      <c r="D20" s="8" t="s">
        <v>81</v>
      </c>
      <c r="E20" s="9" t="str">
        <f>IF(samplesheetTemplate!$B$7="A01 B01 C01...", A20, IF(samplesheetTemplate!$B$7="A01 A02 A03...", C20,"NA"))</f>
        <v>B6</v>
      </c>
      <c r="F20" s="9" t="str">
        <f>IF(samplesheetTemplate!$B$7="A01 B01 C01...", B20, IF(samplesheetTemplate!$B$7="A01 A02 A03...", D20,"NA"))</f>
        <v>B06</v>
      </c>
      <c r="G20" s="9" t="str">
        <f>IF(fastqlistTemplate!$B$7="A01 B01 C01...", B20, IF(fastqlistTemplate!$B$7="A01 A02 A03...", D20,"NA"))</f>
        <v>B06</v>
      </c>
    </row>
    <row r="21" spans="1:7" ht="14" x14ac:dyDescent="0.15">
      <c r="A21" s="8" t="s">
        <v>82</v>
      </c>
      <c r="B21" s="8" t="s">
        <v>83</v>
      </c>
      <c r="C21" s="8" t="s">
        <v>84</v>
      </c>
      <c r="D21" s="8" t="s">
        <v>85</v>
      </c>
      <c r="E21" s="9" t="str">
        <f>IF(samplesheetTemplate!$B$7="A01 B01 C01...", A21, IF(samplesheetTemplate!$B$7="A01 A02 A03...", C21,"NA"))</f>
        <v>B7</v>
      </c>
      <c r="F21" s="9" t="str">
        <f>IF(samplesheetTemplate!$B$7="A01 B01 C01...", B21, IF(samplesheetTemplate!$B$7="A01 A02 A03...", D21,"NA"))</f>
        <v>B07</v>
      </c>
      <c r="G21" s="9" t="str">
        <f>IF(fastqlistTemplate!$B$7="A01 B01 C01...", B21, IF(fastqlistTemplate!$B$7="A01 A02 A03...", D21,"NA"))</f>
        <v>B07</v>
      </c>
    </row>
    <row r="22" spans="1:7" ht="14" x14ac:dyDescent="0.15">
      <c r="A22" s="8" t="s">
        <v>86</v>
      </c>
      <c r="B22" s="8" t="s">
        <v>87</v>
      </c>
      <c r="C22" s="8" t="s">
        <v>88</v>
      </c>
      <c r="D22" s="8" t="s">
        <v>89</v>
      </c>
      <c r="E22" s="9" t="str">
        <f>IF(samplesheetTemplate!$B$7="A01 B01 C01...", A22, IF(samplesheetTemplate!$B$7="A01 A02 A03...", C22,"NA"))</f>
        <v>B8</v>
      </c>
      <c r="F22" s="9" t="str">
        <f>IF(samplesheetTemplate!$B$7="A01 B01 C01...", B22, IF(samplesheetTemplate!$B$7="A01 A02 A03...", D22,"NA"))</f>
        <v>B08</v>
      </c>
      <c r="G22" s="9" t="str">
        <f>IF(fastqlistTemplate!$B$7="A01 B01 C01...", B22, IF(fastqlistTemplate!$B$7="A01 A02 A03...", D22,"NA"))</f>
        <v>B08</v>
      </c>
    </row>
    <row r="23" spans="1:7" ht="14" x14ac:dyDescent="0.15">
      <c r="A23" s="8" t="s">
        <v>90</v>
      </c>
      <c r="B23" s="8" t="s">
        <v>91</v>
      </c>
      <c r="C23" s="8" t="s">
        <v>92</v>
      </c>
      <c r="D23" s="8" t="s">
        <v>93</v>
      </c>
      <c r="E23" s="9" t="str">
        <f>IF(samplesheetTemplate!$B$7="A01 B01 C01...", A23, IF(samplesheetTemplate!$B$7="A01 A02 A03...", C23,"NA"))</f>
        <v>B9</v>
      </c>
      <c r="F23" s="9" t="str">
        <f>IF(samplesheetTemplate!$B$7="A01 B01 C01...", B23, IF(samplesheetTemplate!$B$7="A01 A02 A03...", D23,"NA"))</f>
        <v>B09</v>
      </c>
      <c r="G23" s="9" t="str">
        <f>IF(fastqlistTemplate!$B$7="A01 B01 C01...", B23, IF(fastqlistTemplate!$B$7="A01 A02 A03...", D23,"NA"))</f>
        <v>B09</v>
      </c>
    </row>
    <row r="24" spans="1:7" ht="14" x14ac:dyDescent="0.15">
      <c r="A24" s="8" t="s">
        <v>94</v>
      </c>
      <c r="B24" s="8" t="s">
        <v>95</v>
      </c>
      <c r="C24" s="8" t="s">
        <v>96</v>
      </c>
      <c r="D24" s="8" t="s">
        <v>96</v>
      </c>
      <c r="E24" s="9" t="str">
        <f>IF(samplesheetTemplate!$B$7="A01 B01 C01...", A24, IF(samplesheetTemplate!$B$7="A01 A02 A03...", C24,"NA"))</f>
        <v>B10</v>
      </c>
      <c r="F24" s="9" t="str">
        <f>IF(samplesheetTemplate!$B$7="A01 B01 C01...", B24, IF(samplesheetTemplate!$B$7="A01 A02 A03...", D24,"NA"))</f>
        <v>B10</v>
      </c>
      <c r="G24" s="9" t="str">
        <f>IF(fastqlistTemplate!$B$7="A01 B01 C01...", B24, IF(fastqlistTemplate!$B$7="A01 A02 A03...", D24,"NA"))</f>
        <v>B10</v>
      </c>
    </row>
    <row r="25" spans="1:7" ht="14" x14ac:dyDescent="0.15">
      <c r="A25" s="8" t="s">
        <v>97</v>
      </c>
      <c r="B25" s="8" t="s">
        <v>98</v>
      </c>
      <c r="C25" s="8" t="s">
        <v>99</v>
      </c>
      <c r="D25" s="8" t="s">
        <v>99</v>
      </c>
      <c r="E25" s="9" t="str">
        <f>IF(samplesheetTemplate!$B$7="A01 B01 C01...", A25, IF(samplesheetTemplate!$B$7="A01 A02 A03...", C25,"NA"))</f>
        <v>B11</v>
      </c>
      <c r="F25" s="9" t="str">
        <f>IF(samplesheetTemplate!$B$7="A01 B01 C01...", B25, IF(samplesheetTemplate!$B$7="A01 A02 A03...", D25,"NA"))</f>
        <v>B11</v>
      </c>
      <c r="G25" s="9" t="str">
        <f>IF(fastqlistTemplate!$B$7="A01 B01 C01...", B25, IF(fastqlistTemplate!$B$7="A01 A02 A03...", D25,"NA"))</f>
        <v>B11</v>
      </c>
    </row>
    <row r="26" spans="1:7" ht="14" x14ac:dyDescent="0.15">
      <c r="A26" s="8" t="s">
        <v>100</v>
      </c>
      <c r="B26" s="8" t="s">
        <v>101</v>
      </c>
      <c r="C26" s="8" t="s">
        <v>102</v>
      </c>
      <c r="D26" s="8" t="s">
        <v>102</v>
      </c>
      <c r="E26" s="9" t="str">
        <f>IF(samplesheetTemplate!$B$7="A01 B01 C01...", A26, IF(samplesheetTemplate!$B$7="A01 A02 A03...", C26,"NA"))</f>
        <v>B12</v>
      </c>
      <c r="F26" s="9" t="str">
        <f>IF(samplesheetTemplate!$B$7="A01 B01 C01...", B26, IF(samplesheetTemplate!$B$7="A01 A02 A03...", D26,"NA"))</f>
        <v>B12</v>
      </c>
      <c r="G26" s="9" t="str">
        <f>IF(fastqlistTemplate!$B$7="A01 B01 C01...", B26, IF(fastqlistTemplate!$B$7="A01 A02 A03...", D26,"NA"))</f>
        <v>B12</v>
      </c>
    </row>
    <row r="27" spans="1:7" ht="14" x14ac:dyDescent="0.15">
      <c r="A27" s="8" t="s">
        <v>37</v>
      </c>
      <c r="B27" s="8" t="s">
        <v>38</v>
      </c>
      <c r="C27" s="8" t="s">
        <v>31</v>
      </c>
      <c r="D27" s="8" t="s">
        <v>32</v>
      </c>
      <c r="E27" s="9" t="str">
        <f>IF(samplesheetTemplate!$B$7="A01 B01 C01...", A27, IF(samplesheetTemplate!$B$7="A01 A02 A03...", C27,"NA"))</f>
        <v>C1</v>
      </c>
      <c r="F27" s="9" t="str">
        <f>IF(samplesheetTemplate!$B$7="A01 B01 C01...", B27, IF(samplesheetTemplate!$B$7="A01 A02 A03...", D27,"NA"))</f>
        <v>C01</v>
      </c>
      <c r="G27" s="9" t="str">
        <f>IF(fastqlistTemplate!$B$7="A01 B01 C01...", B27, IF(fastqlistTemplate!$B$7="A01 A02 A03...", D27,"NA"))</f>
        <v>C01</v>
      </c>
    </row>
    <row r="28" spans="1:7" ht="14" x14ac:dyDescent="0.15">
      <c r="A28" s="8" t="s">
        <v>76</v>
      </c>
      <c r="B28" s="8" t="s">
        <v>77</v>
      </c>
      <c r="C28" s="8" t="s">
        <v>60</v>
      </c>
      <c r="D28" s="8" t="s">
        <v>61</v>
      </c>
      <c r="E28" s="9" t="str">
        <f>IF(samplesheetTemplate!$B$7="A01 B01 C01...", A28, IF(samplesheetTemplate!$B$7="A01 A02 A03...", C28,"NA"))</f>
        <v>C2</v>
      </c>
      <c r="F28" s="9" t="str">
        <f>IF(samplesheetTemplate!$B$7="A01 B01 C01...", B28, IF(samplesheetTemplate!$B$7="A01 A02 A03...", D28,"NA"))</f>
        <v>C02</v>
      </c>
      <c r="G28" s="9" t="str">
        <f>IF(fastqlistTemplate!$B$7="A01 B01 C01...", B28, IF(fastqlistTemplate!$B$7="A01 A02 A03...", D28,"NA"))</f>
        <v>C02</v>
      </c>
    </row>
    <row r="29" spans="1:7" ht="14" x14ac:dyDescent="0.15">
      <c r="A29" s="8" t="s">
        <v>103</v>
      </c>
      <c r="B29" s="8" t="s">
        <v>104</v>
      </c>
      <c r="C29" s="8" t="s">
        <v>82</v>
      </c>
      <c r="D29" s="8" t="s">
        <v>83</v>
      </c>
      <c r="E29" s="9" t="str">
        <f>IF(samplesheetTemplate!$B$7="A01 B01 C01...", A29, IF(samplesheetTemplate!$B$7="A01 A02 A03...", C29,"NA"))</f>
        <v>C3</v>
      </c>
      <c r="F29" s="9" t="str">
        <f>IF(samplesheetTemplate!$B$7="A01 B01 C01...", B29, IF(samplesheetTemplate!$B$7="A01 A02 A03...", D29,"NA"))</f>
        <v>C03</v>
      </c>
      <c r="G29" s="9" t="str">
        <f>IF(fastqlistTemplate!$B$7="A01 B01 C01...", B29, IF(fastqlistTemplate!$B$7="A01 A02 A03...", D29,"NA"))</f>
        <v>C03</v>
      </c>
    </row>
    <row r="30" spans="1:7" ht="14" x14ac:dyDescent="0.15">
      <c r="A30" s="8" t="s">
        <v>105</v>
      </c>
      <c r="B30" s="8" t="s">
        <v>106</v>
      </c>
      <c r="C30" s="8" t="s">
        <v>103</v>
      </c>
      <c r="D30" s="8" t="s">
        <v>104</v>
      </c>
      <c r="E30" s="9" t="str">
        <f>IF(samplesheetTemplate!$B$7="A01 B01 C01...", A30, IF(samplesheetTemplate!$B$7="A01 A02 A03...", C30,"NA"))</f>
        <v>C4</v>
      </c>
      <c r="F30" s="9" t="str">
        <f>IF(samplesheetTemplate!$B$7="A01 B01 C01...", B30, IF(samplesheetTemplate!$B$7="A01 A02 A03...", D30,"NA"))</f>
        <v>C04</v>
      </c>
      <c r="G30" s="9" t="str">
        <f>IF(fastqlistTemplate!$B$7="A01 B01 C01...", B30, IF(fastqlistTemplate!$B$7="A01 A02 A03...", D30,"NA"))</f>
        <v>C04</v>
      </c>
    </row>
    <row r="31" spans="1:7" ht="14" x14ac:dyDescent="0.15">
      <c r="A31" s="8" t="s">
        <v>107</v>
      </c>
      <c r="B31" s="8" t="s">
        <v>108</v>
      </c>
      <c r="C31" s="8" t="s">
        <v>109</v>
      </c>
      <c r="D31" s="8" t="s">
        <v>110</v>
      </c>
      <c r="E31" s="9" t="str">
        <f>IF(samplesheetTemplate!$B$7="A01 B01 C01...", A31, IF(samplesheetTemplate!$B$7="A01 A02 A03...", C31,"NA"))</f>
        <v>C5</v>
      </c>
      <c r="F31" s="9" t="str">
        <f>IF(samplesheetTemplate!$B$7="A01 B01 C01...", B31, IF(samplesheetTemplate!$B$7="A01 A02 A03...", D31,"NA"))</f>
        <v>C05</v>
      </c>
      <c r="G31" s="9" t="str">
        <f>IF(fastqlistTemplate!$B$7="A01 B01 C01...", B31, IF(fastqlistTemplate!$B$7="A01 A02 A03...", D31,"NA"))</f>
        <v>C05</v>
      </c>
    </row>
    <row r="32" spans="1:7" ht="14" x14ac:dyDescent="0.15">
      <c r="A32" s="8" t="s">
        <v>111</v>
      </c>
      <c r="B32" s="8" t="s">
        <v>112</v>
      </c>
      <c r="C32" s="8" t="s">
        <v>113</v>
      </c>
      <c r="D32" s="8" t="s">
        <v>114</v>
      </c>
      <c r="E32" s="9" t="str">
        <f>IF(samplesheetTemplate!$B$7="A01 B01 C01...", A32, IF(samplesheetTemplate!$B$7="A01 A02 A03...", C32,"NA"))</f>
        <v>C6</v>
      </c>
      <c r="F32" s="9" t="str">
        <f>IF(samplesheetTemplate!$B$7="A01 B01 C01...", B32, IF(samplesheetTemplate!$B$7="A01 A02 A03...", D32,"NA"))</f>
        <v>C06</v>
      </c>
      <c r="G32" s="9" t="str">
        <f>IF(fastqlistTemplate!$B$7="A01 B01 C01...", B32, IF(fastqlistTemplate!$B$7="A01 A02 A03...", D32,"NA"))</f>
        <v>C06</v>
      </c>
    </row>
    <row r="33" spans="1:7" ht="14" x14ac:dyDescent="0.15">
      <c r="A33" s="8" t="s">
        <v>115</v>
      </c>
      <c r="B33" s="8" t="s">
        <v>116</v>
      </c>
      <c r="C33" s="8" t="s">
        <v>117</v>
      </c>
      <c r="D33" s="8" t="s">
        <v>118</v>
      </c>
      <c r="E33" s="9" t="str">
        <f>IF(samplesheetTemplate!$B$7="A01 B01 C01...", A33, IF(samplesheetTemplate!$B$7="A01 A02 A03...", C33,"NA"))</f>
        <v>C7</v>
      </c>
      <c r="F33" s="9" t="str">
        <f>IF(samplesheetTemplate!$B$7="A01 B01 C01...", B33, IF(samplesheetTemplate!$B$7="A01 A02 A03...", D33,"NA"))</f>
        <v>C07</v>
      </c>
      <c r="G33" s="9" t="str">
        <f>IF(fastqlistTemplate!$B$7="A01 B01 C01...", B33, IF(fastqlistTemplate!$B$7="A01 A02 A03...", D33,"NA"))</f>
        <v>C07</v>
      </c>
    </row>
    <row r="34" spans="1:7" ht="14" x14ac:dyDescent="0.15">
      <c r="A34" s="8" t="s">
        <v>119</v>
      </c>
      <c r="B34" s="8" t="s">
        <v>120</v>
      </c>
      <c r="C34" s="8" t="s">
        <v>121</v>
      </c>
      <c r="D34" s="8" t="s">
        <v>122</v>
      </c>
      <c r="E34" s="9" t="str">
        <f>IF(samplesheetTemplate!$B$7="A01 B01 C01...", A34, IF(samplesheetTemplate!$B$7="A01 A02 A03...", C34,"NA"))</f>
        <v>C8</v>
      </c>
      <c r="F34" s="9" t="str">
        <f>IF(samplesheetTemplate!$B$7="A01 B01 C01...", B34, IF(samplesheetTemplate!$B$7="A01 A02 A03...", D34,"NA"))</f>
        <v>C08</v>
      </c>
      <c r="G34" s="9" t="str">
        <f>IF(fastqlistTemplate!$B$7="A01 B01 C01...", B34, IF(fastqlistTemplate!$B$7="A01 A02 A03...", D34,"NA"))</f>
        <v>C08</v>
      </c>
    </row>
    <row r="35" spans="1:7" ht="14" x14ac:dyDescent="0.15">
      <c r="A35" s="8" t="s">
        <v>41</v>
      </c>
      <c r="B35" s="8" t="s">
        <v>42</v>
      </c>
      <c r="C35" s="8" t="s">
        <v>123</v>
      </c>
      <c r="D35" s="8" t="s">
        <v>124</v>
      </c>
      <c r="E35" s="9" t="str">
        <f>IF(samplesheetTemplate!$B$7="A01 B01 C01...", A35, IF(samplesheetTemplate!$B$7="A01 A02 A03...", C35,"NA"))</f>
        <v>C9</v>
      </c>
      <c r="F35" s="9" t="str">
        <f>IF(samplesheetTemplate!$B$7="A01 B01 C01...", B35, IF(samplesheetTemplate!$B$7="A01 A02 A03...", D35,"NA"))</f>
        <v>C09</v>
      </c>
      <c r="G35" s="9" t="str">
        <f>IF(fastqlistTemplate!$B$7="A01 B01 C01...", B35, IF(fastqlistTemplate!$B$7="A01 A02 A03...", D35,"NA"))</f>
        <v>C09</v>
      </c>
    </row>
    <row r="36" spans="1:7" ht="14" x14ac:dyDescent="0.15">
      <c r="A36" s="8" t="s">
        <v>78</v>
      </c>
      <c r="B36" s="8" t="s">
        <v>79</v>
      </c>
      <c r="C36" s="8" t="s">
        <v>125</v>
      </c>
      <c r="D36" s="8" t="s">
        <v>125</v>
      </c>
      <c r="E36" s="9" t="str">
        <f>IF(samplesheetTemplate!$B$7="A01 B01 C01...", A36, IF(samplesheetTemplate!$B$7="A01 A02 A03...", C36,"NA"))</f>
        <v>C10</v>
      </c>
      <c r="F36" s="9" t="str">
        <f>IF(samplesheetTemplate!$B$7="A01 B01 C01...", B36, IF(samplesheetTemplate!$B$7="A01 A02 A03...", D36,"NA"))</f>
        <v>C10</v>
      </c>
      <c r="G36" s="9" t="str">
        <f>IF(fastqlistTemplate!$B$7="A01 B01 C01...", B36, IF(fastqlistTemplate!$B$7="A01 A02 A03...", D36,"NA"))</f>
        <v>C10</v>
      </c>
    </row>
    <row r="37" spans="1:7" ht="14" x14ac:dyDescent="0.15">
      <c r="A37" s="8" t="s">
        <v>109</v>
      </c>
      <c r="B37" s="8" t="s">
        <v>110</v>
      </c>
      <c r="C37" s="8" t="s">
        <v>126</v>
      </c>
      <c r="D37" s="8" t="s">
        <v>126</v>
      </c>
      <c r="E37" s="9" t="str">
        <f>IF(samplesheetTemplate!$B$7="A01 B01 C01...", A37, IF(samplesheetTemplate!$B$7="A01 A02 A03...", C37,"NA"))</f>
        <v>C11</v>
      </c>
      <c r="F37" s="9" t="str">
        <f>IF(samplesheetTemplate!$B$7="A01 B01 C01...", B37, IF(samplesheetTemplate!$B$7="A01 A02 A03...", D37,"NA"))</f>
        <v>C11</v>
      </c>
      <c r="G37" s="9" t="str">
        <f>IF(fastqlistTemplate!$B$7="A01 B01 C01...", B37, IF(fastqlistTemplate!$B$7="A01 A02 A03...", D37,"NA"))</f>
        <v>C11</v>
      </c>
    </row>
    <row r="38" spans="1:7" ht="14" x14ac:dyDescent="0.15">
      <c r="A38" s="8" t="s">
        <v>127</v>
      </c>
      <c r="B38" s="8" t="s">
        <v>128</v>
      </c>
      <c r="C38" s="8" t="s">
        <v>129</v>
      </c>
      <c r="D38" s="8" t="s">
        <v>129</v>
      </c>
      <c r="E38" s="9" t="str">
        <f>IF(samplesheetTemplate!$B$7="A01 B01 C01...", A38, IF(samplesheetTemplate!$B$7="A01 A02 A03...", C38,"NA"))</f>
        <v>C12</v>
      </c>
      <c r="F38" s="9" t="str">
        <f>IF(samplesheetTemplate!$B$7="A01 B01 C01...", B38, IF(samplesheetTemplate!$B$7="A01 A02 A03...", D38,"NA"))</f>
        <v>C12</v>
      </c>
      <c r="G38" s="9" t="str">
        <f>IF(fastqlistTemplate!$B$7="A01 B01 C01...", B38, IF(fastqlistTemplate!$B$7="A01 A02 A03...", D38,"NA"))</f>
        <v>C12</v>
      </c>
    </row>
    <row r="39" spans="1:7" ht="14" x14ac:dyDescent="0.15">
      <c r="A39" s="8" t="s">
        <v>130</v>
      </c>
      <c r="B39" s="8" t="s">
        <v>131</v>
      </c>
      <c r="C39" s="8" t="s">
        <v>35</v>
      </c>
      <c r="D39" s="8" t="s">
        <v>36</v>
      </c>
      <c r="E39" s="9" t="str">
        <f>IF(samplesheetTemplate!$B$7="A01 B01 C01...", A39, IF(samplesheetTemplate!$B$7="A01 A02 A03...", C39,"NA"))</f>
        <v>D1</v>
      </c>
      <c r="F39" s="9" t="str">
        <f>IF(samplesheetTemplate!$B$7="A01 B01 C01...", B39, IF(samplesheetTemplate!$B$7="A01 A02 A03...", D39,"NA"))</f>
        <v>D01</v>
      </c>
      <c r="G39" s="9" t="str">
        <f>IF(fastqlistTemplate!$B$7="A01 B01 C01...", B39, IF(fastqlistTemplate!$B$7="A01 A02 A03...", D39,"NA"))</f>
        <v>D01</v>
      </c>
    </row>
    <row r="40" spans="1:7" ht="14" x14ac:dyDescent="0.15">
      <c r="A40" s="8" t="s">
        <v>132</v>
      </c>
      <c r="B40" s="8" t="s">
        <v>133</v>
      </c>
      <c r="C40" s="8" t="s">
        <v>63</v>
      </c>
      <c r="D40" s="8" t="s">
        <v>64</v>
      </c>
      <c r="E40" s="9" t="str">
        <f>IF(samplesheetTemplate!$B$7="A01 B01 C01...", A40, IF(samplesheetTemplate!$B$7="A01 A02 A03...", C40,"NA"))</f>
        <v>D2</v>
      </c>
      <c r="F40" s="9" t="str">
        <f>IF(samplesheetTemplate!$B$7="A01 B01 C01...", B40, IF(samplesheetTemplate!$B$7="A01 A02 A03...", D40,"NA"))</f>
        <v>D02</v>
      </c>
      <c r="G40" s="9" t="str">
        <f>IF(fastqlistTemplate!$B$7="A01 B01 C01...", B40, IF(fastqlistTemplate!$B$7="A01 A02 A03...", D40,"NA"))</f>
        <v>D02</v>
      </c>
    </row>
    <row r="41" spans="1:7" ht="14" x14ac:dyDescent="0.15">
      <c r="A41" s="8" t="s">
        <v>134</v>
      </c>
      <c r="B41" s="8" t="s">
        <v>135</v>
      </c>
      <c r="C41" s="8" t="s">
        <v>86</v>
      </c>
      <c r="D41" s="8" t="s">
        <v>87</v>
      </c>
      <c r="E41" s="9" t="str">
        <f>IF(samplesheetTemplate!$B$7="A01 B01 C01...", A41, IF(samplesheetTemplate!$B$7="A01 A02 A03...", C41,"NA"))</f>
        <v>D3</v>
      </c>
      <c r="F41" s="9" t="str">
        <f>IF(samplesheetTemplate!$B$7="A01 B01 C01...", B41, IF(samplesheetTemplate!$B$7="A01 A02 A03...", D41,"NA"))</f>
        <v>D03</v>
      </c>
      <c r="G41" s="9" t="str">
        <f>IF(fastqlistTemplate!$B$7="A01 B01 C01...", B41, IF(fastqlistTemplate!$B$7="A01 A02 A03...", D41,"NA"))</f>
        <v>D03</v>
      </c>
    </row>
    <row r="42" spans="1:7" ht="14" x14ac:dyDescent="0.15">
      <c r="A42" s="8" t="s">
        <v>136</v>
      </c>
      <c r="B42" s="8" t="s">
        <v>137</v>
      </c>
      <c r="C42" s="8" t="s">
        <v>105</v>
      </c>
      <c r="D42" s="8" t="s">
        <v>106</v>
      </c>
      <c r="E42" s="9" t="str">
        <f>IF(samplesheetTemplate!$B$7="A01 B01 C01...", A42, IF(samplesheetTemplate!$B$7="A01 A02 A03...", C42,"NA"))</f>
        <v>D4</v>
      </c>
      <c r="F42" s="9" t="str">
        <f>IF(samplesheetTemplate!$B$7="A01 B01 C01...", B42, IF(samplesheetTemplate!$B$7="A01 A02 A03...", D42,"NA"))</f>
        <v>D04</v>
      </c>
      <c r="G42" s="9" t="str">
        <f>IF(fastqlistTemplate!$B$7="A01 B01 C01...", B42, IF(fastqlistTemplate!$B$7="A01 A02 A03...", D42,"NA"))</f>
        <v>D04</v>
      </c>
    </row>
    <row r="43" spans="1:7" ht="14" x14ac:dyDescent="0.15">
      <c r="A43" s="8" t="s">
        <v>45</v>
      </c>
      <c r="B43" s="8" t="s">
        <v>46</v>
      </c>
      <c r="C43" s="8" t="s">
        <v>127</v>
      </c>
      <c r="D43" s="8" t="s">
        <v>128</v>
      </c>
      <c r="E43" s="9" t="str">
        <f>IF(samplesheetTemplate!$B$7="A01 B01 C01...", A43, IF(samplesheetTemplate!$B$7="A01 A02 A03...", C43,"NA"))</f>
        <v>D5</v>
      </c>
      <c r="F43" s="9" t="str">
        <f>IF(samplesheetTemplate!$B$7="A01 B01 C01...", B43, IF(samplesheetTemplate!$B$7="A01 A02 A03...", D43,"NA"))</f>
        <v>D05</v>
      </c>
      <c r="G43" s="9" t="str">
        <f>IF(fastqlistTemplate!$B$7="A01 B01 C01...", B43, IF(fastqlistTemplate!$B$7="A01 A02 A03...", D43,"NA"))</f>
        <v>D05</v>
      </c>
    </row>
    <row r="44" spans="1:7" ht="14" x14ac:dyDescent="0.15">
      <c r="A44" s="8" t="s">
        <v>80</v>
      </c>
      <c r="B44" s="8" t="s">
        <v>81</v>
      </c>
      <c r="C44" s="8" t="s">
        <v>138</v>
      </c>
      <c r="D44" s="8" t="s">
        <v>139</v>
      </c>
      <c r="E44" s="9" t="str">
        <f>IF(samplesheetTemplate!$B$7="A01 B01 C01...", A44, IF(samplesheetTemplate!$B$7="A01 A02 A03...", C44,"NA"))</f>
        <v>D6</v>
      </c>
      <c r="F44" s="9" t="str">
        <f>IF(samplesheetTemplate!$B$7="A01 B01 C01...", B44, IF(samplesheetTemplate!$B$7="A01 A02 A03...", D44,"NA"))</f>
        <v>D06</v>
      </c>
      <c r="G44" s="9" t="str">
        <f>IF(fastqlistTemplate!$B$7="A01 B01 C01...", B44, IF(fastqlistTemplate!$B$7="A01 A02 A03...", D44,"NA"))</f>
        <v>D06</v>
      </c>
    </row>
    <row r="45" spans="1:7" ht="14" x14ac:dyDescent="0.15">
      <c r="A45" s="8" t="s">
        <v>113</v>
      </c>
      <c r="B45" s="8" t="s">
        <v>114</v>
      </c>
      <c r="C45" s="8" t="s">
        <v>140</v>
      </c>
      <c r="D45" s="8" t="s">
        <v>141</v>
      </c>
      <c r="E45" s="9" t="str">
        <f>IF(samplesheetTemplate!$B$7="A01 B01 C01...", A45, IF(samplesheetTemplate!$B$7="A01 A02 A03...", C45,"NA"))</f>
        <v>D7</v>
      </c>
      <c r="F45" s="9" t="str">
        <f>IF(samplesheetTemplate!$B$7="A01 B01 C01...", B45, IF(samplesheetTemplate!$B$7="A01 A02 A03...", D45,"NA"))</f>
        <v>D07</v>
      </c>
      <c r="G45" s="9" t="str">
        <f>IF(fastqlistTemplate!$B$7="A01 B01 C01...", B45, IF(fastqlistTemplate!$B$7="A01 A02 A03...", D45,"NA"))</f>
        <v>D07</v>
      </c>
    </row>
    <row r="46" spans="1:7" ht="14" x14ac:dyDescent="0.15">
      <c r="A46" s="8" t="s">
        <v>138</v>
      </c>
      <c r="B46" s="8" t="s">
        <v>139</v>
      </c>
      <c r="C46" s="8" t="s">
        <v>142</v>
      </c>
      <c r="D46" s="8" t="s">
        <v>143</v>
      </c>
      <c r="E46" s="9" t="str">
        <f>IF(samplesheetTemplate!$B$7="A01 B01 C01...", A46, IF(samplesheetTemplate!$B$7="A01 A02 A03...", C46,"NA"))</f>
        <v>D8</v>
      </c>
      <c r="F46" s="9" t="str">
        <f>IF(samplesheetTemplate!$B$7="A01 B01 C01...", B46, IF(samplesheetTemplate!$B$7="A01 A02 A03...", D46,"NA"))</f>
        <v>D08</v>
      </c>
      <c r="G46" s="9" t="str">
        <f>IF(fastqlistTemplate!$B$7="A01 B01 C01...", B46, IF(fastqlistTemplate!$B$7="A01 A02 A03...", D46,"NA"))</f>
        <v>D08</v>
      </c>
    </row>
    <row r="47" spans="1:7" ht="14" x14ac:dyDescent="0.15">
      <c r="A47" s="8" t="s">
        <v>144</v>
      </c>
      <c r="B47" s="8" t="s">
        <v>145</v>
      </c>
      <c r="C47" s="8" t="s">
        <v>146</v>
      </c>
      <c r="D47" s="8" t="s">
        <v>147</v>
      </c>
      <c r="E47" s="9" t="str">
        <f>IF(samplesheetTemplate!$B$7="A01 B01 C01...", A47, IF(samplesheetTemplate!$B$7="A01 A02 A03...", C47,"NA"))</f>
        <v>D9</v>
      </c>
      <c r="F47" s="9" t="str">
        <f>IF(samplesheetTemplate!$B$7="A01 B01 C01...", B47, IF(samplesheetTemplate!$B$7="A01 A02 A03...", D47,"NA"))</f>
        <v>D09</v>
      </c>
      <c r="G47" s="9" t="str">
        <f>IF(fastqlistTemplate!$B$7="A01 B01 C01...", B47, IF(fastqlistTemplate!$B$7="A01 A02 A03...", D47,"NA"))</f>
        <v>D09</v>
      </c>
    </row>
    <row r="48" spans="1:7" ht="14" x14ac:dyDescent="0.15">
      <c r="A48" s="8" t="s">
        <v>148</v>
      </c>
      <c r="B48" s="8" t="s">
        <v>149</v>
      </c>
      <c r="C48" s="8" t="s">
        <v>150</v>
      </c>
      <c r="D48" s="8" t="s">
        <v>150</v>
      </c>
      <c r="E48" s="9" t="str">
        <f>IF(samplesheetTemplate!$B$7="A01 B01 C01...", A48, IF(samplesheetTemplate!$B$7="A01 A02 A03...", C48,"NA"))</f>
        <v>D10</v>
      </c>
      <c r="F48" s="9" t="str">
        <f>IF(samplesheetTemplate!$B$7="A01 B01 C01...", B48, IF(samplesheetTemplate!$B$7="A01 A02 A03...", D48,"NA"))</f>
        <v>D10</v>
      </c>
      <c r="G48" s="9" t="str">
        <f>IF(fastqlistTemplate!$B$7="A01 B01 C01...", B48, IF(fastqlistTemplate!$B$7="A01 A02 A03...", D48,"NA"))</f>
        <v>D10</v>
      </c>
    </row>
    <row r="49" spans="1:7" ht="14" x14ac:dyDescent="0.15">
      <c r="A49" s="8" t="s">
        <v>151</v>
      </c>
      <c r="B49" s="8" t="s">
        <v>152</v>
      </c>
      <c r="C49" s="8" t="s">
        <v>153</v>
      </c>
      <c r="D49" s="8" t="s">
        <v>153</v>
      </c>
      <c r="E49" s="9" t="str">
        <f>IF(samplesheetTemplate!$B$7="A01 B01 C01...", A49, IF(samplesheetTemplate!$B$7="A01 A02 A03...", C49,"NA"))</f>
        <v>D11</v>
      </c>
      <c r="F49" s="9" t="str">
        <f>IF(samplesheetTemplate!$B$7="A01 B01 C01...", B49, IF(samplesheetTemplate!$B$7="A01 A02 A03...", D49,"NA"))</f>
        <v>D11</v>
      </c>
      <c r="G49" s="9" t="str">
        <f>IF(fastqlistTemplate!$B$7="A01 B01 C01...", B49, IF(fastqlistTemplate!$B$7="A01 A02 A03...", D49,"NA"))</f>
        <v>D11</v>
      </c>
    </row>
    <row r="50" spans="1:7" ht="14" x14ac:dyDescent="0.15">
      <c r="A50" s="8" t="s">
        <v>154</v>
      </c>
      <c r="B50" s="8" t="s">
        <v>155</v>
      </c>
      <c r="C50" s="8" t="s">
        <v>156</v>
      </c>
      <c r="D50" s="8" t="s">
        <v>156</v>
      </c>
      <c r="E50" s="9" t="str">
        <f>IF(samplesheetTemplate!$B$7="A01 B01 C01...", A50, IF(samplesheetTemplate!$B$7="A01 A02 A03...", C50,"NA"))</f>
        <v>D12</v>
      </c>
      <c r="F50" s="9" t="str">
        <f>IF(samplesheetTemplate!$B$7="A01 B01 C01...", B50, IF(samplesheetTemplate!$B$7="A01 A02 A03...", D50,"NA"))</f>
        <v>D12</v>
      </c>
      <c r="G50" s="9" t="str">
        <f>IF(fastqlistTemplate!$B$7="A01 B01 C01...", B50, IF(fastqlistTemplate!$B$7="A01 A02 A03...", D50,"NA"))</f>
        <v>D12</v>
      </c>
    </row>
    <row r="51" spans="1:7" ht="14" x14ac:dyDescent="0.15">
      <c r="A51" s="8" t="s">
        <v>49</v>
      </c>
      <c r="B51" s="8" t="s">
        <v>50</v>
      </c>
      <c r="C51" s="8" t="s">
        <v>39</v>
      </c>
      <c r="D51" s="8" t="s">
        <v>40</v>
      </c>
      <c r="E51" s="9" t="str">
        <f>IF(samplesheetTemplate!$B$7="A01 B01 C01...", A51, IF(samplesheetTemplate!$B$7="A01 A02 A03...", C51,"NA"))</f>
        <v>E1</v>
      </c>
      <c r="F51" s="9" t="str">
        <f>IF(samplesheetTemplate!$B$7="A01 B01 C01...", B51, IF(samplesheetTemplate!$B$7="A01 A02 A03...", D51,"NA"))</f>
        <v>E01</v>
      </c>
      <c r="G51" s="9" t="str">
        <f>IF(fastqlistTemplate!$B$7="A01 B01 C01...", B51, IF(fastqlistTemplate!$B$7="A01 A02 A03...", D51,"NA"))</f>
        <v>E01</v>
      </c>
    </row>
    <row r="52" spans="1:7" ht="14" x14ac:dyDescent="0.15">
      <c r="A52" s="8" t="s">
        <v>84</v>
      </c>
      <c r="B52" s="8" t="s">
        <v>85</v>
      </c>
      <c r="C52" s="8" t="s">
        <v>66</v>
      </c>
      <c r="D52" s="8" t="s">
        <v>67</v>
      </c>
      <c r="E52" s="9" t="str">
        <f>IF(samplesheetTemplate!$B$7="A01 B01 C01...", A52, IF(samplesheetTemplate!$B$7="A01 A02 A03...", C52,"NA"))</f>
        <v>E2</v>
      </c>
      <c r="F52" s="9" t="str">
        <f>IF(samplesheetTemplate!$B$7="A01 B01 C01...", B52, IF(samplesheetTemplate!$B$7="A01 A02 A03...", D52,"NA"))</f>
        <v>E02</v>
      </c>
      <c r="G52" s="9" t="str">
        <f>IF(fastqlistTemplate!$B$7="A01 B01 C01...", B52, IF(fastqlistTemplate!$B$7="A01 A02 A03...", D52,"NA"))</f>
        <v>E02</v>
      </c>
    </row>
    <row r="53" spans="1:7" ht="14" x14ac:dyDescent="0.15">
      <c r="A53" s="8" t="s">
        <v>117</v>
      </c>
      <c r="B53" s="8" t="s">
        <v>118</v>
      </c>
      <c r="C53" s="8" t="s">
        <v>90</v>
      </c>
      <c r="D53" s="8" t="s">
        <v>91</v>
      </c>
      <c r="E53" s="9" t="str">
        <f>IF(samplesheetTemplate!$B$7="A01 B01 C01...", A53, IF(samplesheetTemplate!$B$7="A01 A02 A03...", C53,"NA"))</f>
        <v>E3</v>
      </c>
      <c r="F53" s="9" t="str">
        <f>IF(samplesheetTemplate!$B$7="A01 B01 C01...", B53, IF(samplesheetTemplate!$B$7="A01 A02 A03...", D53,"NA"))</f>
        <v>E03</v>
      </c>
      <c r="G53" s="9" t="str">
        <f>IF(fastqlistTemplate!$B$7="A01 B01 C01...", B53, IF(fastqlistTemplate!$B$7="A01 A02 A03...", D53,"NA"))</f>
        <v>E03</v>
      </c>
    </row>
    <row r="54" spans="1:7" ht="14" x14ac:dyDescent="0.15">
      <c r="A54" s="8" t="s">
        <v>140</v>
      </c>
      <c r="B54" s="8" t="s">
        <v>141</v>
      </c>
      <c r="C54" s="8" t="s">
        <v>107</v>
      </c>
      <c r="D54" s="8" t="s">
        <v>108</v>
      </c>
      <c r="E54" s="9" t="str">
        <f>IF(samplesheetTemplate!$B$7="A01 B01 C01...", A54, IF(samplesheetTemplate!$B$7="A01 A02 A03...", C54,"NA"))</f>
        <v>E4</v>
      </c>
      <c r="F54" s="9" t="str">
        <f>IF(samplesheetTemplate!$B$7="A01 B01 C01...", B54, IF(samplesheetTemplate!$B$7="A01 A02 A03...", D54,"NA"))</f>
        <v>E04</v>
      </c>
      <c r="G54" s="9" t="str">
        <f>IF(fastqlistTemplate!$B$7="A01 B01 C01...", B54, IF(fastqlistTemplate!$B$7="A01 A02 A03...", D54,"NA"))</f>
        <v>E04</v>
      </c>
    </row>
    <row r="55" spans="1:7" ht="14" x14ac:dyDescent="0.15">
      <c r="A55" s="8" t="s">
        <v>157</v>
      </c>
      <c r="B55" s="8" t="s">
        <v>158</v>
      </c>
      <c r="C55" s="8" t="s">
        <v>130</v>
      </c>
      <c r="D55" s="8" t="s">
        <v>131</v>
      </c>
      <c r="E55" s="9" t="str">
        <f>IF(samplesheetTemplate!$B$7="A01 B01 C01...", A55, IF(samplesheetTemplate!$B$7="A01 A02 A03...", C55,"NA"))</f>
        <v>E5</v>
      </c>
      <c r="F55" s="9" t="str">
        <f>IF(samplesheetTemplate!$B$7="A01 B01 C01...", B55, IF(samplesheetTemplate!$B$7="A01 A02 A03...", D55,"NA"))</f>
        <v>E05</v>
      </c>
      <c r="G55" s="9" t="str">
        <f>IF(fastqlistTemplate!$B$7="A01 B01 C01...", B55, IF(fastqlistTemplate!$B$7="A01 A02 A03...", D55,"NA"))</f>
        <v>E05</v>
      </c>
    </row>
    <row r="56" spans="1:7" ht="14" x14ac:dyDescent="0.15">
      <c r="A56" s="8" t="s">
        <v>159</v>
      </c>
      <c r="B56" s="8" t="s">
        <v>160</v>
      </c>
      <c r="C56" s="8" t="s">
        <v>144</v>
      </c>
      <c r="D56" s="8" t="s">
        <v>145</v>
      </c>
      <c r="E56" s="9" t="str">
        <f>IF(samplesheetTemplate!$B$7="A01 B01 C01...", A56, IF(samplesheetTemplate!$B$7="A01 A02 A03...", C56,"NA"))</f>
        <v>E6</v>
      </c>
      <c r="F56" s="9" t="str">
        <f>IF(samplesheetTemplate!$B$7="A01 B01 C01...", B56, IF(samplesheetTemplate!$B$7="A01 A02 A03...", D56,"NA"))</f>
        <v>E06</v>
      </c>
      <c r="G56" s="9" t="str">
        <f>IF(fastqlistTemplate!$B$7="A01 B01 C01...", B56, IF(fastqlistTemplate!$B$7="A01 A02 A03...", D56,"NA"))</f>
        <v>E06</v>
      </c>
    </row>
    <row r="57" spans="1:7" ht="14" x14ac:dyDescent="0.15">
      <c r="A57" s="8" t="s">
        <v>161</v>
      </c>
      <c r="B57" s="8" t="s">
        <v>162</v>
      </c>
      <c r="C57" s="8" t="s">
        <v>157</v>
      </c>
      <c r="D57" s="8" t="s">
        <v>158</v>
      </c>
      <c r="E57" s="9" t="str">
        <f>IF(samplesheetTemplate!$B$7="A01 B01 C01...", A57, IF(samplesheetTemplate!$B$7="A01 A02 A03...", C57,"NA"))</f>
        <v>E7</v>
      </c>
      <c r="F57" s="9" t="str">
        <f>IF(samplesheetTemplate!$B$7="A01 B01 C01...", B57, IF(samplesheetTemplate!$B$7="A01 A02 A03...", D57,"NA"))</f>
        <v>E07</v>
      </c>
      <c r="G57" s="9" t="str">
        <f>IF(fastqlistTemplate!$B$7="A01 B01 C01...", B57, IF(fastqlistTemplate!$B$7="A01 A02 A03...", D57,"NA"))</f>
        <v>E07</v>
      </c>
    </row>
    <row r="58" spans="1:7" ht="14" x14ac:dyDescent="0.15">
      <c r="A58" s="8" t="s">
        <v>163</v>
      </c>
      <c r="B58" s="8" t="s">
        <v>164</v>
      </c>
      <c r="C58" s="8" t="s">
        <v>165</v>
      </c>
      <c r="D58" s="8" t="s">
        <v>166</v>
      </c>
      <c r="E58" s="9" t="str">
        <f>IF(samplesheetTemplate!$B$7="A01 B01 C01...", A58, IF(samplesheetTemplate!$B$7="A01 A02 A03...", C58,"NA"))</f>
        <v>E8</v>
      </c>
      <c r="F58" s="9" t="str">
        <f>IF(samplesheetTemplate!$B$7="A01 B01 C01...", B58, IF(samplesheetTemplate!$B$7="A01 A02 A03...", D58,"NA"))</f>
        <v>E08</v>
      </c>
      <c r="G58" s="9" t="str">
        <f>IF(fastqlistTemplate!$B$7="A01 B01 C01...", B58, IF(fastqlistTemplate!$B$7="A01 A02 A03...", D58,"NA"))</f>
        <v>E08</v>
      </c>
    </row>
    <row r="59" spans="1:7" ht="14" x14ac:dyDescent="0.15">
      <c r="A59" s="8" t="s">
        <v>53</v>
      </c>
      <c r="B59" s="8" t="s">
        <v>54</v>
      </c>
      <c r="C59" s="8" t="s">
        <v>167</v>
      </c>
      <c r="D59" s="8" t="s">
        <v>168</v>
      </c>
      <c r="E59" s="9" t="str">
        <f>IF(samplesheetTemplate!$B$7="A01 B01 C01...", A59, IF(samplesheetTemplate!$B$7="A01 A02 A03...", C59,"NA"))</f>
        <v>E9</v>
      </c>
      <c r="F59" s="9" t="str">
        <f>IF(samplesheetTemplate!$B$7="A01 B01 C01...", B59, IF(samplesheetTemplate!$B$7="A01 A02 A03...", D59,"NA"))</f>
        <v>E09</v>
      </c>
      <c r="G59" s="9" t="str">
        <f>IF(fastqlistTemplate!$B$7="A01 B01 C01...", B59, IF(fastqlistTemplate!$B$7="A01 A02 A03...", D59,"NA"))</f>
        <v>E09</v>
      </c>
    </row>
    <row r="60" spans="1:7" ht="14" x14ac:dyDescent="0.15">
      <c r="A60" s="8" t="s">
        <v>88</v>
      </c>
      <c r="B60" s="8" t="s">
        <v>89</v>
      </c>
      <c r="C60" s="8" t="s">
        <v>169</v>
      </c>
      <c r="D60" s="8" t="s">
        <v>169</v>
      </c>
      <c r="E60" s="9" t="str">
        <f>IF(samplesheetTemplate!$B$7="A01 B01 C01...", A60, IF(samplesheetTemplate!$B$7="A01 A02 A03...", C60,"NA"))</f>
        <v>E10</v>
      </c>
      <c r="F60" s="9" t="str">
        <f>IF(samplesheetTemplate!$B$7="A01 B01 C01...", B60, IF(samplesheetTemplate!$B$7="A01 A02 A03...", D60,"NA"))</f>
        <v>E10</v>
      </c>
      <c r="G60" s="9" t="str">
        <f>IF(fastqlistTemplate!$B$7="A01 B01 C01...", B60, IF(fastqlistTemplate!$B$7="A01 A02 A03...", D60,"NA"))</f>
        <v>E10</v>
      </c>
    </row>
    <row r="61" spans="1:7" ht="14" x14ac:dyDescent="0.15">
      <c r="A61" s="8" t="s">
        <v>121</v>
      </c>
      <c r="B61" s="8" t="s">
        <v>122</v>
      </c>
      <c r="C61" s="8" t="s">
        <v>170</v>
      </c>
      <c r="D61" s="8" t="s">
        <v>170</v>
      </c>
      <c r="E61" s="9" t="str">
        <f>IF(samplesheetTemplate!$B$7="A01 B01 C01...", A61, IF(samplesheetTemplate!$B$7="A01 A02 A03...", C61,"NA"))</f>
        <v>E11</v>
      </c>
      <c r="F61" s="9" t="str">
        <f>IF(samplesheetTemplate!$B$7="A01 B01 C01...", B61, IF(samplesheetTemplate!$B$7="A01 A02 A03...", D61,"NA"))</f>
        <v>E11</v>
      </c>
      <c r="G61" s="9" t="str">
        <f>IF(fastqlistTemplate!$B$7="A01 B01 C01...", B61, IF(fastqlistTemplate!$B$7="A01 A02 A03...", D61,"NA"))</f>
        <v>E11</v>
      </c>
    </row>
    <row r="62" spans="1:7" ht="14" x14ac:dyDescent="0.15">
      <c r="A62" s="8" t="s">
        <v>142</v>
      </c>
      <c r="B62" s="8" t="s">
        <v>143</v>
      </c>
      <c r="C62" s="8" t="s">
        <v>171</v>
      </c>
      <c r="D62" s="8" t="s">
        <v>171</v>
      </c>
      <c r="E62" s="9" t="str">
        <f>IF(samplesheetTemplate!$B$7="A01 B01 C01...", A62, IF(samplesheetTemplate!$B$7="A01 A02 A03...", C62,"NA"))</f>
        <v>E12</v>
      </c>
      <c r="F62" s="9" t="str">
        <f>IF(samplesheetTemplate!$B$7="A01 B01 C01...", B62, IF(samplesheetTemplate!$B$7="A01 A02 A03...", D62,"NA"))</f>
        <v>E12</v>
      </c>
      <c r="G62" s="9" t="str">
        <f>IF(fastqlistTemplate!$B$7="A01 B01 C01...", B62, IF(fastqlistTemplate!$B$7="A01 A02 A03...", D62,"NA"))</f>
        <v>E12</v>
      </c>
    </row>
    <row r="63" spans="1:7" ht="14" x14ac:dyDescent="0.15">
      <c r="A63" s="8" t="s">
        <v>165</v>
      </c>
      <c r="B63" s="8" t="s">
        <v>166</v>
      </c>
      <c r="C63" s="8" t="s">
        <v>43</v>
      </c>
      <c r="D63" s="8" t="s">
        <v>44</v>
      </c>
      <c r="E63" s="9" t="str">
        <f>IF(samplesheetTemplate!$B$7="A01 B01 C01...", A63, IF(samplesheetTemplate!$B$7="A01 A02 A03...", C63,"NA"))</f>
        <v>F1</v>
      </c>
      <c r="F63" s="9" t="str">
        <f>IF(samplesheetTemplate!$B$7="A01 B01 C01...", B63, IF(samplesheetTemplate!$B$7="A01 A02 A03...", D63,"NA"))</f>
        <v>F01</v>
      </c>
      <c r="G63" s="9" t="str">
        <f>IF(fastqlistTemplate!$B$7="A01 B01 C01...", B63, IF(fastqlistTemplate!$B$7="A01 A02 A03...", D63,"NA"))</f>
        <v>F01</v>
      </c>
    </row>
    <row r="64" spans="1:7" ht="14" x14ac:dyDescent="0.15">
      <c r="A64" s="8" t="s">
        <v>172</v>
      </c>
      <c r="B64" s="8" t="s">
        <v>173</v>
      </c>
      <c r="C64" s="8" t="s">
        <v>68</v>
      </c>
      <c r="D64" s="8" t="s">
        <v>69</v>
      </c>
      <c r="E64" s="9" t="str">
        <f>IF(samplesheetTemplate!$B$7="A01 B01 C01...", A64, IF(samplesheetTemplate!$B$7="A01 A02 A03...", C64,"NA"))</f>
        <v>F2</v>
      </c>
      <c r="F64" s="9" t="str">
        <f>IF(samplesheetTemplate!$B$7="A01 B01 C01...", B64, IF(samplesheetTemplate!$B$7="A01 A02 A03...", D64,"NA"))</f>
        <v>F02</v>
      </c>
      <c r="G64" s="9" t="str">
        <f>IF(fastqlistTemplate!$B$7="A01 B01 C01...", B64, IF(fastqlistTemplate!$B$7="A01 A02 A03...", D64,"NA"))</f>
        <v>F02</v>
      </c>
    </row>
    <row r="65" spans="1:7" ht="14" x14ac:dyDescent="0.15">
      <c r="A65" s="8" t="s">
        <v>174</v>
      </c>
      <c r="B65" s="8" t="s">
        <v>175</v>
      </c>
      <c r="C65" s="8" t="s">
        <v>94</v>
      </c>
      <c r="D65" s="8" t="s">
        <v>95</v>
      </c>
      <c r="E65" s="9" t="str">
        <f>IF(samplesheetTemplate!$B$7="A01 B01 C01...", A65, IF(samplesheetTemplate!$B$7="A01 A02 A03...", C65,"NA"))</f>
        <v>F3</v>
      </c>
      <c r="F65" s="9" t="str">
        <f>IF(samplesheetTemplate!$B$7="A01 B01 C01...", B65, IF(samplesheetTemplate!$B$7="A01 A02 A03...", D65,"NA"))</f>
        <v>F03</v>
      </c>
      <c r="G65" s="9" t="str">
        <f>IF(fastqlistTemplate!$B$7="A01 B01 C01...", B65, IF(fastqlistTemplate!$B$7="A01 A02 A03...", D65,"NA"))</f>
        <v>F03</v>
      </c>
    </row>
    <row r="66" spans="1:7" ht="14" x14ac:dyDescent="0.15">
      <c r="A66" s="8" t="s">
        <v>176</v>
      </c>
      <c r="B66" s="8" t="s">
        <v>177</v>
      </c>
      <c r="C66" s="8" t="s">
        <v>111</v>
      </c>
      <c r="D66" s="8" t="s">
        <v>112</v>
      </c>
      <c r="E66" s="9" t="str">
        <f>IF(samplesheetTemplate!$B$7="A01 B01 C01...", A66, IF(samplesheetTemplate!$B$7="A01 A02 A03...", C66,"NA"))</f>
        <v>F4</v>
      </c>
      <c r="F66" s="9" t="str">
        <f>IF(samplesheetTemplate!$B$7="A01 B01 C01...", B66, IF(samplesheetTemplate!$B$7="A01 A02 A03...", D66,"NA"))</f>
        <v>F04</v>
      </c>
      <c r="G66" s="9" t="str">
        <f>IF(fastqlistTemplate!$B$7="A01 B01 C01...", B66, IF(fastqlistTemplate!$B$7="A01 A02 A03...", D66,"NA"))</f>
        <v>F04</v>
      </c>
    </row>
    <row r="67" spans="1:7" ht="14" x14ac:dyDescent="0.15">
      <c r="A67" s="8" t="s">
        <v>55</v>
      </c>
      <c r="B67" s="8" t="s">
        <v>56</v>
      </c>
      <c r="C67" s="8" t="s">
        <v>132</v>
      </c>
      <c r="D67" s="8" t="s">
        <v>133</v>
      </c>
      <c r="E67" s="9" t="str">
        <f>IF(samplesheetTemplate!$B$7="A01 B01 C01...", A67, IF(samplesheetTemplate!$B$7="A01 A02 A03...", C67,"NA"))</f>
        <v>F5</v>
      </c>
      <c r="F67" s="9" t="str">
        <f>IF(samplesheetTemplate!$B$7="A01 B01 C01...", B67, IF(samplesheetTemplate!$B$7="A01 A02 A03...", D67,"NA"))</f>
        <v>F05</v>
      </c>
      <c r="G67" s="9" t="str">
        <f>IF(fastqlistTemplate!$B$7="A01 B01 C01...", B67, IF(fastqlistTemplate!$B$7="A01 A02 A03...", D67,"NA"))</f>
        <v>F05</v>
      </c>
    </row>
    <row r="68" spans="1:7" ht="14" x14ac:dyDescent="0.15">
      <c r="A68" s="8" t="s">
        <v>92</v>
      </c>
      <c r="B68" s="8" t="s">
        <v>93</v>
      </c>
      <c r="C68" s="8" t="s">
        <v>148</v>
      </c>
      <c r="D68" s="8" t="s">
        <v>149</v>
      </c>
      <c r="E68" s="9" t="str">
        <f>IF(samplesheetTemplate!$B$7="A01 B01 C01...", A68, IF(samplesheetTemplate!$B$7="A01 A02 A03...", C68,"NA"))</f>
        <v>F6</v>
      </c>
      <c r="F68" s="9" t="str">
        <f>IF(samplesheetTemplate!$B$7="A01 B01 C01...", B68, IF(samplesheetTemplate!$B$7="A01 A02 A03...", D68,"NA"))</f>
        <v>F06</v>
      </c>
      <c r="G68" s="9" t="str">
        <f>IF(fastqlistTemplate!$B$7="A01 B01 C01...", B68, IF(fastqlistTemplate!$B$7="A01 A02 A03...", D68,"NA"))</f>
        <v>F06</v>
      </c>
    </row>
    <row r="69" spans="1:7" ht="14" x14ac:dyDescent="0.15">
      <c r="A69" s="8" t="s">
        <v>123</v>
      </c>
      <c r="B69" s="8" t="s">
        <v>124</v>
      </c>
      <c r="C69" s="8" t="s">
        <v>159</v>
      </c>
      <c r="D69" s="8" t="s">
        <v>160</v>
      </c>
      <c r="E69" s="9" t="str">
        <f>IF(samplesheetTemplate!$B$7="A01 B01 C01...", A69, IF(samplesheetTemplate!$B$7="A01 A02 A03...", C69,"NA"))</f>
        <v>F7</v>
      </c>
      <c r="F69" s="9" t="str">
        <f>IF(samplesheetTemplate!$B$7="A01 B01 C01...", B69, IF(samplesheetTemplate!$B$7="A01 A02 A03...", D69,"NA"))</f>
        <v>F07</v>
      </c>
      <c r="G69" s="9" t="str">
        <f>IF(fastqlistTemplate!$B$7="A01 B01 C01...", B69, IF(fastqlistTemplate!$B$7="A01 A02 A03...", D69,"NA"))</f>
        <v>F07</v>
      </c>
    </row>
    <row r="70" spans="1:7" ht="14" x14ac:dyDescent="0.15">
      <c r="A70" s="8" t="s">
        <v>146</v>
      </c>
      <c r="B70" s="8" t="s">
        <v>147</v>
      </c>
      <c r="C70" s="8" t="s">
        <v>172</v>
      </c>
      <c r="D70" s="8" t="s">
        <v>173</v>
      </c>
      <c r="E70" s="9" t="str">
        <f>IF(samplesheetTemplate!$B$7="A01 B01 C01...", A70, IF(samplesheetTemplate!$B$7="A01 A02 A03...", C70,"NA"))</f>
        <v>F8</v>
      </c>
      <c r="F70" s="9" t="str">
        <f>IF(samplesheetTemplate!$B$7="A01 B01 C01...", B70, IF(samplesheetTemplate!$B$7="A01 A02 A03...", D70,"NA"))</f>
        <v>F08</v>
      </c>
      <c r="G70" s="9" t="str">
        <f>IF(fastqlistTemplate!$B$7="A01 B01 C01...", B70, IF(fastqlistTemplate!$B$7="A01 A02 A03...", D70,"NA"))</f>
        <v>F08</v>
      </c>
    </row>
    <row r="71" spans="1:7" ht="14" x14ac:dyDescent="0.15">
      <c r="A71" s="8" t="s">
        <v>167</v>
      </c>
      <c r="B71" s="8" t="s">
        <v>168</v>
      </c>
      <c r="C71" s="8" t="s">
        <v>178</v>
      </c>
      <c r="D71" s="8" t="s">
        <v>179</v>
      </c>
      <c r="E71" s="9" t="str">
        <f>IF(samplesheetTemplate!$B$7="A01 B01 C01...", A71, IF(samplesheetTemplate!$B$7="A01 A02 A03...", C71,"NA"))</f>
        <v>F9</v>
      </c>
      <c r="F71" s="9" t="str">
        <f>IF(samplesheetTemplate!$B$7="A01 B01 C01...", B71, IF(samplesheetTemplate!$B$7="A01 A02 A03...", D71,"NA"))</f>
        <v>F09</v>
      </c>
      <c r="G71" s="9" t="str">
        <f>IF(fastqlistTemplate!$B$7="A01 B01 C01...", B71, IF(fastqlistTemplate!$B$7="A01 A02 A03...", D71,"NA"))</f>
        <v>F09</v>
      </c>
    </row>
    <row r="72" spans="1:7" ht="14" x14ac:dyDescent="0.15">
      <c r="A72" s="8" t="s">
        <v>178</v>
      </c>
      <c r="B72" s="8" t="s">
        <v>179</v>
      </c>
      <c r="C72" s="8" t="s">
        <v>180</v>
      </c>
      <c r="D72" s="8" t="s">
        <v>180</v>
      </c>
      <c r="E72" s="9" t="str">
        <f>IF(samplesheetTemplate!$B$7="A01 B01 C01...", A72, IF(samplesheetTemplate!$B$7="A01 A02 A03...", C72,"NA"))</f>
        <v>F10</v>
      </c>
      <c r="F72" s="9" t="str">
        <f>IF(samplesheetTemplate!$B$7="A01 B01 C01...", B72, IF(samplesheetTemplate!$B$7="A01 A02 A03...", D72,"NA"))</f>
        <v>F10</v>
      </c>
      <c r="G72" s="9" t="str">
        <f>IF(fastqlistTemplate!$B$7="A01 B01 C01...", B72, IF(fastqlistTemplate!$B$7="A01 A02 A03...", D72,"NA"))</f>
        <v>F10</v>
      </c>
    </row>
    <row r="73" spans="1:7" ht="14" x14ac:dyDescent="0.15">
      <c r="A73" s="8" t="s">
        <v>181</v>
      </c>
      <c r="B73" s="8" t="s">
        <v>182</v>
      </c>
      <c r="C73" s="8" t="s">
        <v>183</v>
      </c>
      <c r="D73" s="8" t="s">
        <v>183</v>
      </c>
      <c r="E73" s="9" t="str">
        <f>IF(samplesheetTemplate!$B$7="A01 B01 C01...", A73, IF(samplesheetTemplate!$B$7="A01 A02 A03...", C73,"NA"))</f>
        <v>F11</v>
      </c>
      <c r="F73" s="9" t="str">
        <f>IF(samplesheetTemplate!$B$7="A01 B01 C01...", B73, IF(samplesheetTemplate!$B$7="A01 A02 A03...", D73,"NA"))</f>
        <v>F11</v>
      </c>
      <c r="G73" s="9" t="str">
        <f>IF(fastqlistTemplate!$B$7="A01 B01 C01...", B73, IF(fastqlistTemplate!$B$7="A01 A02 A03...", D73,"NA"))</f>
        <v>F11</v>
      </c>
    </row>
    <row r="74" spans="1:7" ht="14" x14ac:dyDescent="0.15">
      <c r="A74" s="8" t="s">
        <v>184</v>
      </c>
      <c r="B74" s="8" t="s">
        <v>185</v>
      </c>
      <c r="C74" s="8" t="s">
        <v>186</v>
      </c>
      <c r="D74" s="8" t="s">
        <v>186</v>
      </c>
      <c r="E74" s="9" t="str">
        <f>IF(samplesheetTemplate!$B$7="A01 B01 C01...", A74, IF(samplesheetTemplate!$B$7="A01 A02 A03...", C74,"NA"))</f>
        <v>F12</v>
      </c>
      <c r="F74" s="9" t="str">
        <f>IF(samplesheetTemplate!$B$7="A01 B01 C01...", B74, IF(samplesheetTemplate!$B$7="A01 A02 A03...", D74,"NA"))</f>
        <v>F12</v>
      </c>
      <c r="G74" s="9" t="str">
        <f>IF(fastqlistTemplate!$B$7="A01 B01 C01...", B74, IF(fastqlistTemplate!$B$7="A01 A02 A03...", D74,"NA"))</f>
        <v>F12</v>
      </c>
    </row>
    <row r="75" spans="1:7" ht="14" x14ac:dyDescent="0.15">
      <c r="A75" s="8" t="s">
        <v>59</v>
      </c>
      <c r="B75" s="8" t="s">
        <v>59</v>
      </c>
      <c r="C75" s="8" t="s">
        <v>47</v>
      </c>
      <c r="D75" s="8" t="s">
        <v>48</v>
      </c>
      <c r="E75" s="9" t="str">
        <f>IF(samplesheetTemplate!$B$7="A01 B01 C01...", A75, IF(samplesheetTemplate!$B$7="A01 A02 A03...", C75,"NA"))</f>
        <v>G1</v>
      </c>
      <c r="F75" s="9" t="str">
        <f>IF(samplesheetTemplate!$B$7="A01 B01 C01...", B75, IF(samplesheetTemplate!$B$7="A01 A02 A03...", D75,"NA"))</f>
        <v>G01</v>
      </c>
      <c r="G75" s="9" t="str">
        <f>IF(fastqlistTemplate!$B$7="A01 B01 C01...", B75, IF(fastqlistTemplate!$B$7="A01 A02 A03...", D75,"NA"))</f>
        <v>G01</v>
      </c>
    </row>
    <row r="76" spans="1:7" ht="14" x14ac:dyDescent="0.15">
      <c r="A76" s="8" t="s">
        <v>96</v>
      </c>
      <c r="B76" s="8" t="s">
        <v>96</v>
      </c>
      <c r="C76" s="8" t="s">
        <v>70</v>
      </c>
      <c r="D76" s="8" t="s">
        <v>71</v>
      </c>
      <c r="E76" s="9" t="str">
        <f>IF(samplesheetTemplate!$B$7="A01 B01 C01...", A76, IF(samplesheetTemplate!$B$7="A01 A02 A03...", C76,"NA"))</f>
        <v>G2</v>
      </c>
      <c r="F76" s="9" t="str">
        <f>IF(samplesheetTemplate!$B$7="A01 B01 C01...", B76, IF(samplesheetTemplate!$B$7="A01 A02 A03...", D76,"NA"))</f>
        <v>G02</v>
      </c>
      <c r="G76" s="9" t="str">
        <f>IF(fastqlistTemplate!$B$7="A01 B01 C01...", B76, IF(fastqlistTemplate!$B$7="A01 A02 A03...", D76,"NA"))</f>
        <v>G02</v>
      </c>
    </row>
    <row r="77" spans="1:7" ht="14" x14ac:dyDescent="0.15">
      <c r="A77" s="8" t="s">
        <v>125</v>
      </c>
      <c r="B77" s="8" t="s">
        <v>125</v>
      </c>
      <c r="C77" s="8" t="s">
        <v>97</v>
      </c>
      <c r="D77" s="8" t="s">
        <v>98</v>
      </c>
      <c r="E77" s="9" t="str">
        <f>IF(samplesheetTemplate!$B$7="A01 B01 C01...", A77, IF(samplesheetTemplate!$B$7="A01 A02 A03...", C77,"NA"))</f>
        <v>G3</v>
      </c>
      <c r="F77" s="9" t="str">
        <f>IF(samplesheetTemplate!$B$7="A01 B01 C01...", B77, IF(samplesheetTemplate!$B$7="A01 A02 A03...", D77,"NA"))</f>
        <v>G03</v>
      </c>
      <c r="G77" s="9" t="str">
        <f>IF(fastqlistTemplate!$B$7="A01 B01 C01...", B77, IF(fastqlistTemplate!$B$7="A01 A02 A03...", D77,"NA"))</f>
        <v>G03</v>
      </c>
    </row>
    <row r="78" spans="1:7" ht="14" x14ac:dyDescent="0.15">
      <c r="A78" s="8" t="s">
        <v>150</v>
      </c>
      <c r="B78" s="8" t="s">
        <v>150</v>
      </c>
      <c r="C78" s="8" t="s">
        <v>115</v>
      </c>
      <c r="D78" s="8" t="s">
        <v>116</v>
      </c>
      <c r="E78" s="9" t="str">
        <f>IF(samplesheetTemplate!$B$7="A01 B01 C01...", A78, IF(samplesheetTemplate!$B$7="A01 A02 A03...", C78,"NA"))</f>
        <v>G4</v>
      </c>
      <c r="F78" s="9" t="str">
        <f>IF(samplesheetTemplate!$B$7="A01 B01 C01...", B78, IF(samplesheetTemplate!$B$7="A01 A02 A03...", D78,"NA"))</f>
        <v>G04</v>
      </c>
      <c r="G78" s="9" t="str">
        <f>IF(fastqlistTemplate!$B$7="A01 B01 C01...", B78, IF(fastqlistTemplate!$B$7="A01 A02 A03...", D78,"NA"))</f>
        <v>G04</v>
      </c>
    </row>
    <row r="79" spans="1:7" ht="14" x14ac:dyDescent="0.15">
      <c r="A79" s="8" t="s">
        <v>169</v>
      </c>
      <c r="B79" s="8" t="s">
        <v>169</v>
      </c>
      <c r="C79" s="8" t="s">
        <v>134</v>
      </c>
      <c r="D79" s="8" t="s">
        <v>135</v>
      </c>
      <c r="E79" s="9" t="str">
        <f>IF(samplesheetTemplate!$B$7="A01 B01 C01...", A79, IF(samplesheetTemplate!$B$7="A01 A02 A03...", C79,"NA"))</f>
        <v>G5</v>
      </c>
      <c r="F79" s="9" t="str">
        <f>IF(samplesheetTemplate!$B$7="A01 B01 C01...", B79, IF(samplesheetTemplate!$B$7="A01 A02 A03...", D79,"NA"))</f>
        <v>G05</v>
      </c>
      <c r="G79" s="9" t="str">
        <f>IF(fastqlistTemplate!$B$7="A01 B01 C01...", B79, IF(fastqlistTemplate!$B$7="A01 A02 A03...", D79,"NA"))</f>
        <v>G05</v>
      </c>
    </row>
    <row r="80" spans="1:7" ht="14" x14ac:dyDescent="0.15">
      <c r="A80" s="8" t="s">
        <v>180</v>
      </c>
      <c r="B80" s="8" t="s">
        <v>180</v>
      </c>
      <c r="C80" s="8" t="s">
        <v>151</v>
      </c>
      <c r="D80" s="8" t="s">
        <v>152</v>
      </c>
      <c r="E80" s="9" t="str">
        <f>IF(samplesheetTemplate!$B$7="A01 B01 C01...", A80, IF(samplesheetTemplate!$B$7="A01 A02 A03...", C80,"NA"))</f>
        <v>G6</v>
      </c>
      <c r="F80" s="9" t="str">
        <f>IF(samplesheetTemplate!$B$7="A01 B01 C01...", B80, IF(samplesheetTemplate!$B$7="A01 A02 A03...", D80,"NA"))</f>
        <v>G06</v>
      </c>
      <c r="G80" s="9" t="str">
        <f>IF(fastqlistTemplate!$B$7="A01 B01 C01...", B80, IF(fastqlistTemplate!$B$7="A01 A02 A03...", D80,"NA"))</f>
        <v>G06</v>
      </c>
    </row>
    <row r="81" spans="1:7" ht="14" x14ac:dyDescent="0.15">
      <c r="A81" s="8" t="s">
        <v>187</v>
      </c>
      <c r="B81" s="8" t="s">
        <v>187</v>
      </c>
      <c r="C81" s="8" t="s">
        <v>161</v>
      </c>
      <c r="D81" s="8" t="s">
        <v>162</v>
      </c>
      <c r="E81" s="9" t="str">
        <f>IF(samplesheetTemplate!$B$7="A01 B01 C01...", A81, IF(samplesheetTemplate!$B$7="A01 A02 A03...", C81,"NA"))</f>
        <v>G7</v>
      </c>
      <c r="F81" s="9" t="str">
        <f>IF(samplesheetTemplate!$B$7="A01 B01 C01...", B81, IF(samplesheetTemplate!$B$7="A01 A02 A03...", D81,"NA"))</f>
        <v>G07</v>
      </c>
      <c r="G81" s="9" t="str">
        <f>IF(fastqlistTemplate!$B$7="A01 B01 C01...", B81, IF(fastqlistTemplate!$B$7="A01 A02 A03...", D81,"NA"))</f>
        <v>G07</v>
      </c>
    </row>
    <row r="82" spans="1:7" ht="14" x14ac:dyDescent="0.15">
      <c r="A82" s="8" t="s">
        <v>188</v>
      </c>
      <c r="B82" s="8" t="s">
        <v>188</v>
      </c>
      <c r="C82" s="8" t="s">
        <v>174</v>
      </c>
      <c r="D82" s="8" t="s">
        <v>175</v>
      </c>
      <c r="E82" s="9" t="str">
        <f>IF(samplesheetTemplate!$B$7="A01 B01 C01...", A82, IF(samplesheetTemplate!$B$7="A01 A02 A03...", C82,"NA"))</f>
        <v>G8</v>
      </c>
      <c r="F82" s="9" t="str">
        <f>IF(samplesheetTemplate!$B$7="A01 B01 C01...", B82, IF(samplesheetTemplate!$B$7="A01 A02 A03...", D82,"NA"))</f>
        <v>G08</v>
      </c>
      <c r="G82" s="9" t="str">
        <f>IF(fastqlistTemplate!$B$7="A01 B01 C01...", B82, IF(fastqlistTemplate!$B$7="A01 A02 A03...", D82,"NA"))</f>
        <v>G08</v>
      </c>
    </row>
    <row r="83" spans="1:7" ht="14" x14ac:dyDescent="0.15">
      <c r="A83" s="8" t="s">
        <v>62</v>
      </c>
      <c r="B83" s="8" t="s">
        <v>62</v>
      </c>
      <c r="C83" s="8" t="s">
        <v>181</v>
      </c>
      <c r="D83" s="8" t="s">
        <v>182</v>
      </c>
      <c r="E83" s="9" t="str">
        <f>IF(samplesheetTemplate!$B$7="A01 B01 C01...", A83, IF(samplesheetTemplate!$B$7="A01 A02 A03...", C83,"NA"))</f>
        <v>G9</v>
      </c>
      <c r="F83" s="9" t="str">
        <f>IF(samplesheetTemplate!$B$7="A01 B01 C01...", B83, IF(samplesheetTemplate!$B$7="A01 A02 A03...", D83,"NA"))</f>
        <v>G09</v>
      </c>
      <c r="G83" s="9" t="str">
        <f>IF(fastqlistTemplate!$B$7="A01 B01 C01...", B83, IF(fastqlistTemplate!$B$7="A01 A02 A03...", D83,"NA"))</f>
        <v>G09</v>
      </c>
    </row>
    <row r="84" spans="1:7" ht="14" x14ac:dyDescent="0.15">
      <c r="A84" s="8" t="s">
        <v>99</v>
      </c>
      <c r="B84" s="8" t="s">
        <v>99</v>
      </c>
      <c r="C84" s="8" t="s">
        <v>187</v>
      </c>
      <c r="D84" s="8" t="s">
        <v>187</v>
      </c>
      <c r="E84" s="9" t="str">
        <f>IF(samplesheetTemplate!$B$7="A01 B01 C01...", A84, IF(samplesheetTemplate!$B$7="A01 A02 A03...", C84,"NA"))</f>
        <v>G10</v>
      </c>
      <c r="F84" s="9" t="str">
        <f>IF(samplesheetTemplate!$B$7="A01 B01 C01...", B84, IF(samplesheetTemplate!$B$7="A01 A02 A03...", D84,"NA"))</f>
        <v>G10</v>
      </c>
      <c r="G84" s="9" t="str">
        <f>IF(fastqlistTemplate!$B$7="A01 B01 C01...", B84, IF(fastqlistTemplate!$B$7="A01 A02 A03...", D84,"NA"))</f>
        <v>G10</v>
      </c>
    </row>
    <row r="85" spans="1:7" ht="14" x14ac:dyDescent="0.15">
      <c r="A85" s="8" t="s">
        <v>126</v>
      </c>
      <c r="B85" s="8" t="s">
        <v>126</v>
      </c>
      <c r="C85" s="8" t="s">
        <v>189</v>
      </c>
      <c r="D85" s="8" t="s">
        <v>189</v>
      </c>
      <c r="E85" s="9" t="str">
        <f>IF(samplesheetTemplate!$B$7="A01 B01 C01...", A85, IF(samplesheetTemplate!$B$7="A01 A02 A03...", C85,"NA"))</f>
        <v>G11</v>
      </c>
      <c r="F85" s="9" t="str">
        <f>IF(samplesheetTemplate!$B$7="A01 B01 C01...", B85, IF(samplesheetTemplate!$B$7="A01 A02 A03...", D85,"NA"))</f>
        <v>G11</v>
      </c>
      <c r="G85" s="9" t="str">
        <f>IF(fastqlistTemplate!$B$7="A01 B01 C01...", B85, IF(fastqlistTemplate!$B$7="A01 A02 A03...", D85,"NA"))</f>
        <v>G11</v>
      </c>
    </row>
    <row r="86" spans="1:7" ht="14" x14ac:dyDescent="0.15">
      <c r="A86" s="8" t="s">
        <v>153</v>
      </c>
      <c r="B86" s="8" t="s">
        <v>153</v>
      </c>
      <c r="C86" s="8" t="s">
        <v>190</v>
      </c>
      <c r="D86" s="8" t="s">
        <v>190</v>
      </c>
      <c r="E86" s="9" t="str">
        <f>IF(samplesheetTemplate!$B$7="A01 B01 C01...", A86, IF(samplesheetTemplate!$B$7="A01 A02 A03...", C86,"NA"))</f>
        <v>G12</v>
      </c>
      <c r="F86" s="9" t="str">
        <f>IF(samplesheetTemplate!$B$7="A01 B01 C01...", B86, IF(samplesheetTemplate!$B$7="A01 A02 A03...", D86,"NA"))</f>
        <v>G12</v>
      </c>
      <c r="G86" s="9" t="str">
        <f>IF(fastqlistTemplate!$B$7="A01 B01 C01...", B86, IF(fastqlistTemplate!$B$7="A01 A02 A03...", D86,"NA"))</f>
        <v>G12</v>
      </c>
    </row>
    <row r="87" spans="1:7" ht="14" x14ac:dyDescent="0.15">
      <c r="A87" s="8" t="s">
        <v>170</v>
      </c>
      <c r="B87" s="8" t="s">
        <v>170</v>
      </c>
      <c r="C87" s="8" t="s">
        <v>51</v>
      </c>
      <c r="D87" s="8" t="s">
        <v>52</v>
      </c>
      <c r="E87" s="9" t="str">
        <f>IF(samplesheetTemplate!$B$7="A01 B01 C01...", A87, IF(samplesheetTemplate!$B$7="A01 A02 A03...", C87,"NA"))</f>
        <v>H1</v>
      </c>
      <c r="F87" s="9" t="str">
        <f>IF(samplesheetTemplate!$B$7="A01 B01 C01...", B87, IF(samplesheetTemplate!$B$7="A01 A02 A03...", D87,"NA"))</f>
        <v>H01</v>
      </c>
      <c r="G87" s="9" t="str">
        <f>IF(fastqlistTemplate!$B$7="A01 B01 C01...", B87, IF(fastqlistTemplate!$B$7="A01 A02 A03...", D87,"NA"))</f>
        <v>H01</v>
      </c>
    </row>
    <row r="88" spans="1:7" ht="14" x14ac:dyDescent="0.15">
      <c r="A88" s="8" t="s">
        <v>183</v>
      </c>
      <c r="B88" s="8" t="s">
        <v>183</v>
      </c>
      <c r="C88" s="8" t="s">
        <v>74</v>
      </c>
      <c r="D88" s="8" t="s">
        <v>75</v>
      </c>
      <c r="E88" s="9" t="str">
        <f>IF(samplesheetTemplate!$B$7="A01 B01 C01...", A88, IF(samplesheetTemplate!$B$7="A01 A02 A03...", C88,"NA"))</f>
        <v>H2</v>
      </c>
      <c r="F88" s="9" t="str">
        <f>IF(samplesheetTemplate!$B$7="A01 B01 C01...", B88, IF(samplesheetTemplate!$B$7="A01 A02 A03...", D88,"NA"))</f>
        <v>H02</v>
      </c>
      <c r="G88" s="9" t="str">
        <f>IF(fastqlistTemplate!$B$7="A01 B01 C01...", B88, IF(fastqlistTemplate!$B$7="A01 A02 A03...", D88,"NA"))</f>
        <v>H02</v>
      </c>
    </row>
    <row r="89" spans="1:7" ht="14" x14ac:dyDescent="0.15">
      <c r="A89" s="8" t="s">
        <v>189</v>
      </c>
      <c r="B89" s="8" t="s">
        <v>189</v>
      </c>
      <c r="C89" s="8" t="s">
        <v>100</v>
      </c>
      <c r="D89" s="8" t="s">
        <v>101</v>
      </c>
      <c r="E89" s="9" t="str">
        <f>IF(samplesheetTemplate!$B$7="A01 B01 C01...", A89, IF(samplesheetTemplate!$B$7="A01 A02 A03...", C89,"NA"))</f>
        <v>H3</v>
      </c>
      <c r="F89" s="9" t="str">
        <f>IF(samplesheetTemplate!$B$7="A01 B01 C01...", B89, IF(samplesheetTemplate!$B$7="A01 A02 A03...", D89,"NA"))</f>
        <v>H03</v>
      </c>
      <c r="G89" s="9" t="str">
        <f>IF(fastqlistTemplate!$B$7="A01 B01 C01...", B89, IF(fastqlistTemplate!$B$7="A01 A02 A03...", D89,"NA"))</f>
        <v>H03</v>
      </c>
    </row>
    <row r="90" spans="1:7" ht="14" x14ac:dyDescent="0.15">
      <c r="A90" s="8" t="s">
        <v>191</v>
      </c>
      <c r="B90" s="8" t="s">
        <v>191</v>
      </c>
      <c r="C90" s="8" t="s">
        <v>119</v>
      </c>
      <c r="D90" s="8" t="s">
        <v>120</v>
      </c>
      <c r="E90" s="9" t="str">
        <f>IF(samplesheetTemplate!$B$7="A01 B01 C01...", A90, IF(samplesheetTemplate!$B$7="A01 A02 A03...", C90,"NA"))</f>
        <v>H4</v>
      </c>
      <c r="F90" s="9" t="str">
        <f>IF(samplesheetTemplate!$B$7="A01 B01 C01...", B90, IF(samplesheetTemplate!$B$7="A01 A02 A03...", D90,"NA"))</f>
        <v>H04</v>
      </c>
      <c r="G90" s="9" t="str">
        <f>IF(fastqlistTemplate!$B$7="A01 B01 C01...", B90, IF(fastqlistTemplate!$B$7="A01 A02 A03...", D90,"NA"))</f>
        <v>H04</v>
      </c>
    </row>
    <row r="91" spans="1:7" ht="14" x14ac:dyDescent="0.15">
      <c r="A91" s="8" t="s">
        <v>65</v>
      </c>
      <c r="B91" s="8" t="s">
        <v>65</v>
      </c>
      <c r="C91" s="8" t="s">
        <v>136</v>
      </c>
      <c r="D91" s="8" t="s">
        <v>137</v>
      </c>
      <c r="E91" s="9" t="str">
        <f>IF(samplesheetTemplate!$B$7="A01 B01 C01...", A91, IF(samplesheetTemplate!$B$7="A01 A02 A03...", C91,"NA"))</f>
        <v>H5</v>
      </c>
      <c r="F91" s="9" t="str">
        <f>IF(samplesheetTemplate!$B$7="A01 B01 C01...", B91, IF(samplesheetTemplate!$B$7="A01 A02 A03...", D91,"NA"))</f>
        <v>H05</v>
      </c>
      <c r="G91" s="9" t="str">
        <f>IF(fastqlistTemplate!$B$7="A01 B01 C01...", B91, IF(fastqlistTemplate!$B$7="A01 A02 A03...", D91,"NA"))</f>
        <v>H05</v>
      </c>
    </row>
    <row r="92" spans="1:7" ht="14" x14ac:dyDescent="0.15">
      <c r="A92" s="8" t="s">
        <v>102</v>
      </c>
      <c r="B92" s="8" t="s">
        <v>102</v>
      </c>
      <c r="C92" s="8" t="s">
        <v>154</v>
      </c>
      <c r="D92" s="8" t="s">
        <v>155</v>
      </c>
      <c r="E92" s="9" t="str">
        <f>IF(samplesheetTemplate!$B$7="A01 B01 C01...", A92, IF(samplesheetTemplate!$B$7="A01 A02 A03...", C92,"NA"))</f>
        <v>H6</v>
      </c>
      <c r="F92" s="9" t="str">
        <f>IF(samplesheetTemplate!$B$7="A01 B01 C01...", B92, IF(samplesheetTemplate!$B$7="A01 A02 A03...", D92,"NA"))</f>
        <v>H06</v>
      </c>
      <c r="G92" s="9" t="str">
        <f>IF(fastqlistTemplate!$B$7="A01 B01 C01...", B92, IF(fastqlistTemplate!$B$7="A01 A02 A03...", D92,"NA"))</f>
        <v>H06</v>
      </c>
    </row>
    <row r="93" spans="1:7" ht="14" x14ac:dyDescent="0.15">
      <c r="A93" s="8" t="s">
        <v>129</v>
      </c>
      <c r="B93" s="8" t="s">
        <v>129</v>
      </c>
      <c r="C93" s="8" t="s">
        <v>163</v>
      </c>
      <c r="D93" s="8" t="s">
        <v>164</v>
      </c>
      <c r="E93" s="9" t="str">
        <f>IF(samplesheetTemplate!$B$7="A01 B01 C01...", A93, IF(samplesheetTemplate!$B$7="A01 A02 A03...", C93,"NA"))</f>
        <v>H7</v>
      </c>
      <c r="F93" s="9" t="str">
        <f>IF(samplesheetTemplate!$B$7="A01 B01 C01...", B93, IF(samplesheetTemplate!$B$7="A01 A02 A03...", D93,"NA"))</f>
        <v>H07</v>
      </c>
      <c r="G93" s="9" t="str">
        <f>IF(fastqlistTemplate!$B$7="A01 B01 C01...", B93, IF(fastqlistTemplate!$B$7="A01 A02 A03...", D93,"NA"))</f>
        <v>H07</v>
      </c>
    </row>
    <row r="94" spans="1:7" ht="14" x14ac:dyDescent="0.15">
      <c r="A94" s="8" t="s">
        <v>156</v>
      </c>
      <c r="B94" s="8" t="s">
        <v>156</v>
      </c>
      <c r="C94" s="8" t="s">
        <v>176</v>
      </c>
      <c r="D94" s="8" t="s">
        <v>177</v>
      </c>
      <c r="E94" s="9" t="str">
        <f>IF(samplesheetTemplate!$B$7="A01 B01 C01...", A94, IF(samplesheetTemplate!$B$7="A01 A02 A03...", C94,"NA"))</f>
        <v>H8</v>
      </c>
      <c r="F94" s="9" t="str">
        <f>IF(samplesheetTemplate!$B$7="A01 B01 C01...", B94, IF(samplesheetTemplate!$B$7="A01 A02 A03...", D94,"NA"))</f>
        <v>H08</v>
      </c>
      <c r="G94" s="9" t="str">
        <f>IF(fastqlistTemplate!$B$7="A01 B01 C01...", B94, IF(fastqlistTemplate!$B$7="A01 A02 A03...", D94,"NA"))</f>
        <v>H08</v>
      </c>
    </row>
    <row r="95" spans="1:7" ht="14" x14ac:dyDescent="0.15">
      <c r="A95" s="8" t="s">
        <v>171</v>
      </c>
      <c r="B95" s="8" t="s">
        <v>171</v>
      </c>
      <c r="C95" s="8" t="s">
        <v>184</v>
      </c>
      <c r="D95" s="8" t="s">
        <v>185</v>
      </c>
      <c r="E95" s="9" t="str">
        <f>IF(samplesheetTemplate!$B$7="A01 B01 C01...", A95, IF(samplesheetTemplate!$B$7="A01 A02 A03...", C95,"NA"))</f>
        <v>H9</v>
      </c>
      <c r="F95" s="9" t="str">
        <f>IF(samplesheetTemplate!$B$7="A01 B01 C01...", B95, IF(samplesheetTemplate!$B$7="A01 A02 A03...", D95,"NA"))</f>
        <v>H09</v>
      </c>
      <c r="G95" s="9" t="str">
        <f>IF(fastqlistTemplate!$B$7="A01 B01 C01...", B95, IF(fastqlistTemplate!$B$7="A01 A02 A03...", D95,"NA"))</f>
        <v>H09</v>
      </c>
    </row>
    <row r="96" spans="1:7" ht="14" x14ac:dyDescent="0.15">
      <c r="A96" s="8" t="s">
        <v>186</v>
      </c>
      <c r="B96" s="8" t="s">
        <v>186</v>
      </c>
      <c r="C96" s="8" t="s">
        <v>188</v>
      </c>
      <c r="D96" s="8" t="s">
        <v>188</v>
      </c>
      <c r="E96" s="9" t="str">
        <f>IF(samplesheetTemplate!$B$7="A01 B01 C01...", A96, IF(samplesheetTemplate!$B$7="A01 A02 A03...", C96,"NA"))</f>
        <v>H10</v>
      </c>
      <c r="F96" s="9" t="str">
        <f>IF(samplesheetTemplate!$B$7="A01 B01 C01...", B96, IF(samplesheetTemplate!$B$7="A01 A02 A03...", D96,"NA"))</f>
        <v>H10</v>
      </c>
      <c r="G96" s="9" t="str">
        <f>IF(fastqlistTemplate!$B$7="A01 B01 C01...", B96, IF(fastqlistTemplate!$B$7="A01 A02 A03...", D96,"NA"))</f>
        <v>H10</v>
      </c>
    </row>
    <row r="97" spans="1:7" ht="14" x14ac:dyDescent="0.15">
      <c r="A97" s="8" t="s">
        <v>190</v>
      </c>
      <c r="B97" s="8" t="s">
        <v>190</v>
      </c>
      <c r="C97" s="8" t="s">
        <v>191</v>
      </c>
      <c r="D97" s="8" t="s">
        <v>191</v>
      </c>
      <c r="E97" s="9" t="str">
        <f>IF(samplesheetTemplate!$B$7="A01 B01 C01...", A97, IF(samplesheetTemplate!$B$7="A01 A02 A03...", C97,"NA"))</f>
        <v>H11</v>
      </c>
      <c r="F97" s="9" t="str">
        <f>IF(samplesheetTemplate!$B$7="A01 B01 C01...", B97, IF(samplesheetTemplate!$B$7="A01 A02 A03...", D97,"NA"))</f>
        <v>H11</v>
      </c>
      <c r="G97" s="9" t="str">
        <f>IF(fastqlistTemplate!$B$7="A01 B01 C01...", B97, IF(fastqlistTemplate!$B$7="A01 A02 A03...", D97,"NA"))</f>
        <v>H11</v>
      </c>
    </row>
    <row r="98" spans="1:7" ht="14" x14ac:dyDescent="0.15">
      <c r="A98" s="8" t="s">
        <v>192</v>
      </c>
      <c r="B98" s="8" t="s">
        <v>192</v>
      </c>
      <c r="C98" s="8" t="s">
        <v>192</v>
      </c>
      <c r="D98" s="8" t="s">
        <v>192</v>
      </c>
      <c r="E98" s="9" t="str">
        <f>IF(samplesheetTemplate!$B$7="A01 B01 C01...", A98, IF(samplesheetTemplate!$B$7="A01 A02 A03...", C98,"NA"))</f>
        <v>H12</v>
      </c>
      <c r="F98" s="9" t="str">
        <f>IF(samplesheetTemplate!$B$7="A01 B01 C01...", B98, IF(samplesheetTemplate!$B$7="A01 A02 A03...", D98,"NA"))</f>
        <v>H12</v>
      </c>
      <c r="G98" s="9" t="str">
        <f>IF(fastqlistTemplate!$B$7="A01 B01 C01...", B98, IF(fastqlistTemplate!$B$7="A01 A02 A03...", D98,"NA"))</f>
        <v>H12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samplesheetTemplate</vt:lpstr>
      <vt:lpstr>fastqlistTemplate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Beverly Fu</cp:lastModifiedBy>
  <dcterms:created xsi:type="dcterms:W3CDTF">2026-10-02T14:23:23Z</dcterms:created>
  <dcterms:modified xsi:type="dcterms:W3CDTF">2026-10-06T00:26:36Z</dcterms:modified>
</cp:coreProperties>
</file>